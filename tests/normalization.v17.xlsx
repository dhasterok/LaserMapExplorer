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hasterok/Documents/GitHub/LaserMapExplorer/tests/"/>
    </mc:Choice>
  </mc:AlternateContent>
  <xr:revisionPtr revIDLastSave="0" documentId="8_{AFD8D624-8D97-334F-8DC4-CF9F18D3068F}" xr6:coauthVersionLast="47" xr6:coauthVersionMax="47" xr10:uidLastSave="{00000000-0000-0000-0000-000000000000}"/>
  <bookViews>
    <workbookView xWindow="0" yWindow="660" windowWidth="30240" windowHeight="18980" tabRatio="752" xr2:uid="{AF5E83E3-04BD-334D-99D0-740B4815E1BA}"/>
  </bookViews>
  <sheets>
    <sheet name="El wt% to oxide wt%" sheetId="7" r:id="rId1"/>
    <sheet name="Plagioclase" sheetId="1" r:id="rId2"/>
    <sheet name="Pyroxene" sheetId="2" r:id="rId3"/>
    <sheet name="Garnet" sheetId="6" r:id="rId4"/>
    <sheet name="Olivine" sheetId="4" r:id="rId5"/>
    <sheet name="Spinel" sheetId="5" r:id="rId6"/>
    <sheet name="Periodic Table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11" i="3"/>
  <c r="D18" i="6" s="1"/>
  <c r="B12" i="3"/>
  <c r="B14" i="3"/>
  <c r="B15" i="3"/>
  <c r="A11" i="5"/>
  <c r="A12" i="5"/>
  <c r="C12" i="5"/>
  <c r="D12" i="5"/>
  <c r="A13" i="5"/>
  <c r="A14" i="5"/>
  <c r="C14" i="5"/>
  <c r="D14" i="5"/>
  <c r="A15" i="5"/>
  <c r="C15" i="5"/>
  <c r="D15" i="5"/>
  <c r="A16" i="5"/>
  <c r="C16" i="5"/>
  <c r="D16" i="5"/>
  <c r="A17" i="5"/>
  <c r="C17" i="5"/>
  <c r="D17" i="5"/>
  <c r="A18" i="5"/>
  <c r="C18" i="5"/>
  <c r="D18" i="5"/>
  <c r="B20" i="5"/>
  <c r="A31" i="5"/>
  <c r="B31" i="5"/>
  <c r="D31" i="5"/>
  <c r="A32" i="5"/>
  <c r="B32" i="5"/>
  <c r="D32" i="5"/>
  <c r="A33" i="5"/>
  <c r="B33" i="5"/>
  <c r="D33" i="5"/>
  <c r="A34" i="5"/>
  <c r="B34" i="5"/>
  <c r="D34" i="5"/>
  <c r="A35" i="5"/>
  <c r="D35" i="5"/>
  <c r="A36" i="5"/>
  <c r="D36" i="5"/>
  <c r="A37" i="5"/>
  <c r="B37" i="5"/>
  <c r="D37" i="5"/>
  <c r="A38" i="5"/>
  <c r="B38" i="5"/>
  <c r="D38" i="5"/>
  <c r="A11" i="4"/>
  <c r="C11" i="4"/>
  <c r="D11" i="4"/>
  <c r="A12" i="4"/>
  <c r="C12" i="4"/>
  <c r="D12" i="4"/>
  <c r="A13" i="4"/>
  <c r="C13" i="4"/>
  <c r="E13" i="4" s="1"/>
  <c r="D13" i="4"/>
  <c r="A14" i="4"/>
  <c r="C14" i="4"/>
  <c r="D14" i="4"/>
  <c r="A15" i="4"/>
  <c r="C15" i="4"/>
  <c r="D15" i="4"/>
  <c r="A16" i="4"/>
  <c r="C16" i="4"/>
  <c r="D16" i="4"/>
  <c r="A17" i="4"/>
  <c r="C17" i="4"/>
  <c r="D17" i="4"/>
  <c r="A18" i="4"/>
  <c r="C18" i="4"/>
  <c r="D18" i="4"/>
  <c r="A19" i="4"/>
  <c r="C19" i="4"/>
  <c r="D19" i="4"/>
  <c r="B21" i="4"/>
  <c r="C21" i="4"/>
  <c r="D21" i="4"/>
  <c r="C24" i="4"/>
  <c r="D24" i="4"/>
  <c r="A33" i="4"/>
  <c r="B33" i="4"/>
  <c r="D33" i="4"/>
  <c r="A34" i="4"/>
  <c r="B34" i="4"/>
  <c r="D34" i="4"/>
  <c r="A35" i="4"/>
  <c r="B35" i="4"/>
  <c r="D35" i="4"/>
  <c r="A36" i="4"/>
  <c r="B36" i="4"/>
  <c r="D36" i="4"/>
  <c r="A37" i="4"/>
  <c r="D37" i="4"/>
  <c r="A38" i="4"/>
  <c r="D38" i="4"/>
  <c r="A39" i="4"/>
  <c r="B39" i="4"/>
  <c r="D39" i="4"/>
  <c r="A40" i="4"/>
  <c r="B40" i="4"/>
  <c r="D40" i="4"/>
  <c r="A41" i="4"/>
  <c r="B41" i="4"/>
  <c r="D41" i="4"/>
  <c r="A11" i="6"/>
  <c r="C11" i="6"/>
  <c r="D11" i="6"/>
  <c r="A12" i="6"/>
  <c r="C12" i="6"/>
  <c r="D12" i="6"/>
  <c r="A13" i="6"/>
  <c r="C13" i="6"/>
  <c r="D13" i="6"/>
  <c r="A14" i="6"/>
  <c r="C14" i="6"/>
  <c r="D14" i="6"/>
  <c r="A15" i="6"/>
  <c r="C15" i="6"/>
  <c r="D15" i="6"/>
  <c r="A16" i="6"/>
  <c r="C16" i="6"/>
  <c r="D16" i="6"/>
  <c r="A17" i="6"/>
  <c r="C17" i="6"/>
  <c r="D17" i="6"/>
  <c r="A18" i="6"/>
  <c r="C18" i="6"/>
  <c r="A19" i="6"/>
  <c r="C19" i="6"/>
  <c r="D19" i="6"/>
  <c r="B21" i="6"/>
  <c r="A32" i="6"/>
  <c r="B32" i="6"/>
  <c r="D32" i="6"/>
  <c r="A33" i="6"/>
  <c r="B33" i="6"/>
  <c r="D33" i="6"/>
  <c r="A34" i="6"/>
  <c r="B34" i="6"/>
  <c r="D34" i="6"/>
  <c r="A35" i="6"/>
  <c r="B35" i="6"/>
  <c r="D35" i="6"/>
  <c r="A36" i="6"/>
  <c r="D36" i="6"/>
  <c r="A37" i="6"/>
  <c r="D37" i="6"/>
  <c r="A38" i="6"/>
  <c r="B38" i="6"/>
  <c r="D38" i="6"/>
  <c r="A39" i="6"/>
  <c r="B39" i="6"/>
  <c r="D39" i="6"/>
  <c r="A40" i="6"/>
  <c r="B40" i="6"/>
  <c r="D40" i="6"/>
  <c r="A57" i="6" s="1"/>
  <c r="A49" i="6"/>
  <c r="A50" i="6"/>
  <c r="A51" i="6"/>
  <c r="A52" i="6"/>
  <c r="A53" i="6"/>
  <c r="A54" i="6"/>
  <c r="A55" i="6"/>
  <c r="A56" i="6"/>
  <c r="A11" i="2"/>
  <c r="C11" i="2"/>
  <c r="D11" i="2"/>
  <c r="A12" i="2"/>
  <c r="C12" i="2"/>
  <c r="D12" i="2"/>
  <c r="A13" i="2"/>
  <c r="C13" i="2"/>
  <c r="D13" i="2"/>
  <c r="A14" i="2"/>
  <c r="C14" i="2"/>
  <c r="D14" i="2"/>
  <c r="A15" i="2"/>
  <c r="C15" i="2"/>
  <c r="D15" i="2"/>
  <c r="A16" i="2"/>
  <c r="C16" i="2"/>
  <c r="D16" i="2"/>
  <c r="A17" i="2"/>
  <c r="C17" i="2"/>
  <c r="D17" i="2"/>
  <c r="A18" i="2"/>
  <c r="C18" i="2"/>
  <c r="D18" i="2"/>
  <c r="A19" i="2"/>
  <c r="C19" i="2"/>
  <c r="D19" i="2"/>
  <c r="A20" i="2"/>
  <c r="C20" i="2"/>
  <c r="E20" i="2" s="1"/>
  <c r="D20" i="2"/>
  <c r="C22" i="2"/>
  <c r="D22" i="2"/>
  <c r="C25" i="2"/>
  <c r="D25" i="2"/>
  <c r="A34" i="2"/>
  <c r="B34" i="2"/>
  <c r="D34" i="2"/>
  <c r="A35" i="2"/>
  <c r="B35" i="2"/>
  <c r="D35" i="2"/>
  <c r="A36" i="2"/>
  <c r="B36" i="2"/>
  <c r="D36" i="2"/>
  <c r="A37" i="2"/>
  <c r="B37" i="2"/>
  <c r="D37" i="2"/>
  <c r="A38" i="2"/>
  <c r="D38" i="2"/>
  <c r="A39" i="2"/>
  <c r="D39" i="2"/>
  <c r="A40" i="2"/>
  <c r="B40" i="2"/>
  <c r="D40" i="2"/>
  <c r="A41" i="2"/>
  <c r="B41" i="2"/>
  <c r="D41" i="2"/>
  <c r="A42" i="2"/>
  <c r="B42" i="2"/>
  <c r="D42" i="2"/>
  <c r="A43" i="2"/>
  <c r="B43" i="2"/>
  <c r="D43" i="2"/>
  <c r="A55" i="2"/>
  <c r="A56" i="2"/>
  <c r="A57" i="2"/>
  <c r="A58" i="2"/>
  <c r="A59" i="2"/>
  <c r="A60" i="2"/>
  <c r="A61" i="2"/>
  <c r="A62" i="2"/>
  <c r="A63" i="2"/>
  <c r="A64" i="2"/>
  <c r="A11" i="1"/>
  <c r="C11" i="1"/>
  <c r="D11" i="1"/>
  <c r="A12" i="1"/>
  <c r="C12" i="1"/>
  <c r="D12" i="1"/>
  <c r="A13" i="1"/>
  <c r="C13" i="1"/>
  <c r="D13" i="1"/>
  <c r="A14" i="1"/>
  <c r="A15" i="1"/>
  <c r="C15" i="1"/>
  <c r="D15" i="1"/>
  <c r="A16" i="1"/>
  <c r="C16" i="1"/>
  <c r="D16" i="1"/>
  <c r="A17" i="1"/>
  <c r="C17" i="1"/>
  <c r="D17" i="1"/>
  <c r="A18" i="1"/>
  <c r="C18" i="1"/>
  <c r="D18" i="1"/>
  <c r="A19" i="1"/>
  <c r="C19" i="1"/>
  <c r="D19" i="1"/>
  <c r="A20" i="1"/>
  <c r="C20" i="1"/>
  <c r="D20" i="1"/>
  <c r="A21" i="1"/>
  <c r="C21" i="1"/>
  <c r="D21" i="1"/>
  <c r="A22" i="1"/>
  <c r="C22" i="1"/>
  <c r="D22" i="1"/>
  <c r="B24" i="1"/>
  <c r="A35" i="1"/>
  <c r="B35" i="1"/>
  <c r="D35" i="1"/>
  <c r="A36" i="1"/>
  <c r="B36" i="1"/>
  <c r="D36" i="1"/>
  <c r="A37" i="1"/>
  <c r="B37" i="1"/>
  <c r="D37" i="1"/>
  <c r="A38" i="1"/>
  <c r="B38" i="1"/>
  <c r="D38" i="1"/>
  <c r="A39" i="1"/>
  <c r="D39" i="1"/>
  <c r="A40" i="1"/>
  <c r="D40" i="1"/>
  <c r="A41" i="1"/>
  <c r="B41" i="1"/>
  <c r="D41" i="1"/>
  <c r="A42" i="1"/>
  <c r="B42" i="1"/>
  <c r="D42" i="1"/>
  <c r="A43" i="1"/>
  <c r="B43" i="1"/>
  <c r="D43" i="1"/>
  <c r="A44" i="1"/>
  <c r="B44" i="1"/>
  <c r="D44" i="1"/>
  <c r="A45" i="1"/>
  <c r="B45" i="1"/>
  <c r="D45" i="1"/>
  <c r="A46" i="1"/>
  <c r="B46" i="1"/>
  <c r="D46" i="1"/>
  <c r="C11" i="7"/>
  <c r="D11" i="7"/>
  <c r="E11" i="7"/>
  <c r="F11" i="7"/>
  <c r="G11" i="7"/>
  <c r="H11" i="7"/>
  <c r="C12" i="7"/>
  <c r="D12" i="7"/>
  <c r="E12" i="7"/>
  <c r="F12" i="7"/>
  <c r="G12" i="7"/>
  <c r="H12" i="7"/>
  <c r="C13" i="7"/>
  <c r="D13" i="7"/>
  <c r="E13" i="7"/>
  <c r="F13" i="7"/>
  <c r="G13" i="7"/>
  <c r="H13" i="7"/>
  <c r="C16" i="7"/>
  <c r="D16" i="7"/>
  <c r="E16" i="7"/>
  <c r="F16" i="7"/>
  <c r="G16" i="7"/>
  <c r="H16" i="7"/>
  <c r="C17" i="7"/>
  <c r="D17" i="7"/>
  <c r="E17" i="7"/>
  <c r="F17" i="7"/>
  <c r="G17" i="7"/>
  <c r="H17" i="7"/>
  <c r="C18" i="7"/>
  <c r="D18" i="7"/>
  <c r="E18" i="7"/>
  <c r="F18" i="7"/>
  <c r="G18" i="7"/>
  <c r="H18" i="7"/>
  <c r="C19" i="7"/>
  <c r="D19" i="7"/>
  <c r="E19" i="7"/>
  <c r="F19" i="7"/>
  <c r="G19" i="7"/>
  <c r="H19" i="7"/>
  <c r="C21" i="7"/>
  <c r="D21" i="7"/>
  <c r="E21" i="7"/>
  <c r="F21" i="7"/>
  <c r="G21" i="7"/>
  <c r="H21" i="7"/>
  <c r="C22" i="7"/>
  <c r="D22" i="7"/>
  <c r="G22" i="7" s="1"/>
  <c r="E22" i="7"/>
  <c r="F22" i="7"/>
  <c r="H22" i="7"/>
  <c r="B24" i="7"/>
  <c r="C11" i="5" l="1"/>
  <c r="D11" i="5"/>
  <c r="D13" i="5"/>
  <c r="C13" i="5"/>
  <c r="C14" i="1"/>
  <c r="D14" i="1"/>
  <c r="G13" i="4"/>
  <c r="E35" i="4" s="1"/>
  <c r="F13" i="4"/>
  <c r="H13" i="4" s="1"/>
  <c r="E11" i="4"/>
  <c r="E12" i="4"/>
  <c r="E15" i="4"/>
  <c r="F15" i="4" s="1"/>
  <c r="E16" i="4"/>
  <c r="E17" i="4"/>
  <c r="E18" i="4"/>
  <c r="E19" i="4"/>
  <c r="E14" i="4"/>
  <c r="C21" i="6"/>
  <c r="C24" i="6"/>
  <c r="D24" i="6"/>
  <c r="D21" i="6"/>
  <c r="G20" i="2"/>
  <c r="E43" i="2" s="1"/>
  <c r="B64" i="2" s="1"/>
  <c r="F20" i="2"/>
  <c r="H20" i="2" s="1"/>
  <c r="E11" i="2"/>
  <c r="E12" i="2"/>
  <c r="E13" i="2"/>
  <c r="E14" i="2"/>
  <c r="E15" i="2"/>
  <c r="F15" i="2" s="1"/>
  <c r="E16" i="2"/>
  <c r="E18" i="2"/>
  <c r="E19" i="2"/>
  <c r="E17" i="2"/>
  <c r="G24" i="7"/>
  <c r="C20" i="5" l="1"/>
  <c r="C23" i="5"/>
  <c r="E11" i="5"/>
  <c r="D23" i="5"/>
  <c r="D20" i="5"/>
  <c r="C27" i="1"/>
  <c r="C24" i="1"/>
  <c r="E14" i="1"/>
  <c r="D24" i="1"/>
  <c r="D27" i="1"/>
  <c r="E21" i="4"/>
  <c r="E24" i="4"/>
  <c r="G15" i="4" s="1"/>
  <c r="G11" i="4"/>
  <c r="F11" i="4"/>
  <c r="F12" i="4"/>
  <c r="H12" i="4" s="1"/>
  <c r="G12" i="4"/>
  <c r="E34" i="4" s="1"/>
  <c r="G16" i="4"/>
  <c r="F16" i="4"/>
  <c r="F17" i="4"/>
  <c r="H17" i="4" s="1"/>
  <c r="G17" i="4"/>
  <c r="E39" i="4" s="1"/>
  <c r="G18" i="4"/>
  <c r="E40" i="4" s="1"/>
  <c r="F18" i="4"/>
  <c r="H18" i="4" s="1"/>
  <c r="G19" i="4"/>
  <c r="E41" i="4" s="1"/>
  <c r="F19" i="4"/>
  <c r="H19" i="4" s="1"/>
  <c r="F14" i="4"/>
  <c r="H14" i="4" s="1"/>
  <c r="G14" i="4"/>
  <c r="E36" i="4" s="1"/>
  <c r="E18" i="6"/>
  <c r="E19" i="6"/>
  <c r="E17" i="6"/>
  <c r="E16" i="6"/>
  <c r="E15" i="6"/>
  <c r="F15" i="6" s="1"/>
  <c r="E14" i="6"/>
  <c r="E13" i="6"/>
  <c r="E12" i="6"/>
  <c r="E11" i="6"/>
  <c r="E25" i="2"/>
  <c r="G15" i="2" s="1"/>
  <c r="E22" i="2"/>
  <c r="G11" i="2"/>
  <c r="F11" i="2"/>
  <c r="G12" i="2"/>
  <c r="E35" i="2" s="1"/>
  <c r="C56" i="2" s="1"/>
  <c r="F12" i="2"/>
  <c r="H12" i="2" s="1"/>
  <c r="G13" i="2"/>
  <c r="E36" i="2" s="1"/>
  <c r="F13" i="2"/>
  <c r="H13" i="2" s="1"/>
  <c r="G14" i="2"/>
  <c r="E37" i="2" s="1"/>
  <c r="C58" i="2" s="1"/>
  <c r="F14" i="2"/>
  <c r="H14" i="2" s="1"/>
  <c r="G16" i="2"/>
  <c r="F16" i="2"/>
  <c r="G18" i="2"/>
  <c r="E41" i="2" s="1"/>
  <c r="F18" i="2"/>
  <c r="H18" i="2" s="1"/>
  <c r="F19" i="2"/>
  <c r="H19" i="2" s="1"/>
  <c r="G19" i="2"/>
  <c r="E42" i="2" s="1"/>
  <c r="G17" i="2"/>
  <c r="E40" i="2" s="1"/>
  <c r="B61" i="2" s="1"/>
  <c r="F17" i="2"/>
  <c r="H17" i="2" s="1"/>
  <c r="I21" i="7"/>
  <c r="I11" i="7"/>
  <c r="I12" i="7"/>
  <c r="I13" i="7"/>
  <c r="I16" i="7"/>
  <c r="I18" i="7"/>
  <c r="I19" i="7"/>
  <c r="I22" i="7"/>
  <c r="E13" i="5" l="1"/>
  <c r="E15" i="5"/>
  <c r="F15" i="5" s="1"/>
  <c r="E14" i="5"/>
  <c r="E12" i="5"/>
  <c r="E18" i="5"/>
  <c r="E17" i="5"/>
  <c r="E16" i="5"/>
  <c r="E20" i="5"/>
  <c r="E23" i="5"/>
  <c r="G15" i="5" s="1"/>
  <c r="G11" i="5"/>
  <c r="F11" i="5"/>
  <c r="E13" i="1"/>
  <c r="E22" i="1"/>
  <c r="E21" i="1"/>
  <c r="E20" i="1"/>
  <c r="E19" i="1"/>
  <c r="E18" i="1"/>
  <c r="E17" i="1"/>
  <c r="E16" i="1"/>
  <c r="E15" i="1"/>
  <c r="F15" i="1" s="1"/>
  <c r="E12" i="1"/>
  <c r="E11" i="1"/>
  <c r="G14" i="1"/>
  <c r="E38" i="1" s="1"/>
  <c r="F14" i="1"/>
  <c r="H14" i="1" s="1"/>
  <c r="E37" i="4"/>
  <c r="B37" i="4"/>
  <c r="H15" i="4"/>
  <c r="G24" i="4"/>
  <c r="E23" i="4" s="1"/>
  <c r="E33" i="4"/>
  <c r="F42" i="4" s="1"/>
  <c r="G21" i="4"/>
  <c r="E42" i="4" s="1"/>
  <c r="F24" i="4"/>
  <c r="F21" i="4"/>
  <c r="H11" i="4"/>
  <c r="H16" i="4"/>
  <c r="E38" i="4"/>
  <c r="B38" i="4"/>
  <c r="F18" i="6"/>
  <c r="H18" i="6" s="1"/>
  <c r="G18" i="6"/>
  <c r="E39" i="6" s="1"/>
  <c r="G19" i="6"/>
  <c r="E40" i="6" s="1"/>
  <c r="F19" i="6"/>
  <c r="H19" i="6" s="1"/>
  <c r="G17" i="6"/>
  <c r="E38" i="6" s="1"/>
  <c r="F17" i="6"/>
  <c r="H17" i="6" s="1"/>
  <c r="F16" i="6"/>
  <c r="G14" i="6"/>
  <c r="E35" i="6" s="1"/>
  <c r="C52" i="6" s="1"/>
  <c r="F14" i="6"/>
  <c r="H14" i="6" s="1"/>
  <c r="G13" i="6"/>
  <c r="E34" i="6" s="1"/>
  <c r="C51" i="6" s="1"/>
  <c r="F13" i="6"/>
  <c r="H13" i="6" s="1"/>
  <c r="G12" i="6"/>
  <c r="E33" i="6" s="1"/>
  <c r="C50" i="6" s="1"/>
  <c r="F12" i="6"/>
  <c r="H12" i="6" s="1"/>
  <c r="E24" i="6"/>
  <c r="G15" i="6" s="1"/>
  <c r="G16" i="6" s="1"/>
  <c r="E21" i="6"/>
  <c r="G11" i="6"/>
  <c r="F11" i="6"/>
  <c r="H15" i="2"/>
  <c r="E38" i="2"/>
  <c r="B38" i="2"/>
  <c r="B45" i="2" s="1"/>
  <c r="G22" i="2"/>
  <c r="E44" i="2" s="1"/>
  <c r="E34" i="2"/>
  <c r="G25" i="2"/>
  <c r="E24" i="2" s="1"/>
  <c r="F22" i="2"/>
  <c r="F25" i="2"/>
  <c r="H11" i="2"/>
  <c r="E39" i="2"/>
  <c r="B39" i="2"/>
  <c r="H16" i="2"/>
  <c r="B63" i="2"/>
  <c r="I24" i="7"/>
  <c r="G13" i="5" l="1"/>
  <c r="E33" i="5" s="1"/>
  <c r="F13" i="5"/>
  <c r="H13" i="5" s="1"/>
  <c r="F14" i="5"/>
  <c r="H14" i="5" s="1"/>
  <c r="G14" i="5"/>
  <c r="E34" i="5" s="1"/>
  <c r="G12" i="5"/>
  <c r="F12" i="5"/>
  <c r="G18" i="5"/>
  <c r="E38" i="5" s="1"/>
  <c r="F18" i="5"/>
  <c r="H18" i="5" s="1"/>
  <c r="G17" i="5"/>
  <c r="E37" i="5" s="1"/>
  <c r="F17" i="5"/>
  <c r="H17" i="5" s="1"/>
  <c r="F16" i="5"/>
  <c r="G16" i="5"/>
  <c r="E35" i="5"/>
  <c r="H15" i="5"/>
  <c r="E31" i="5"/>
  <c r="H11" i="5"/>
  <c r="G13" i="1"/>
  <c r="E37" i="1" s="1"/>
  <c r="F13" i="1"/>
  <c r="H13" i="1" s="1"/>
  <c r="G22" i="1"/>
  <c r="E46" i="1" s="1"/>
  <c r="F22" i="1"/>
  <c r="H22" i="1" s="1"/>
  <c r="F21" i="1"/>
  <c r="H21" i="1" s="1"/>
  <c r="G20" i="1"/>
  <c r="F20" i="1"/>
  <c r="H20" i="1" s="1"/>
  <c r="G19" i="1"/>
  <c r="E43" i="1" s="1"/>
  <c r="F19" i="1"/>
  <c r="H19" i="1" s="1"/>
  <c r="F18" i="1"/>
  <c r="H18" i="1" s="1"/>
  <c r="G17" i="1"/>
  <c r="F17" i="1"/>
  <c r="H17" i="1" s="1"/>
  <c r="F16" i="1"/>
  <c r="G12" i="1"/>
  <c r="E36" i="1" s="1"/>
  <c r="F12" i="1"/>
  <c r="H12" i="1" s="1"/>
  <c r="F11" i="1"/>
  <c r="E27" i="1"/>
  <c r="G11" i="1"/>
  <c r="E24" i="1"/>
  <c r="H21" i="4"/>
  <c r="E43" i="4" s="1"/>
  <c r="H24" i="4"/>
  <c r="H34" i="4"/>
  <c r="H35" i="4"/>
  <c r="B56" i="6"/>
  <c r="B57" i="6"/>
  <c r="B55" i="6"/>
  <c r="E37" i="6"/>
  <c r="B37" i="6"/>
  <c r="H16" i="6"/>
  <c r="E36" i="6"/>
  <c r="B36" i="6"/>
  <c r="B43" i="6" s="1"/>
  <c r="H15" i="6"/>
  <c r="E32" i="6"/>
  <c r="D49" i="6" s="1"/>
  <c r="D59" i="6" s="1"/>
  <c r="E60" i="6" s="1"/>
  <c r="G24" i="6"/>
  <c r="E23" i="6" s="1"/>
  <c r="G21" i="6"/>
  <c r="E42" i="6" s="1"/>
  <c r="F24" i="6"/>
  <c r="F21" i="6"/>
  <c r="H11" i="6"/>
  <c r="H57" i="2"/>
  <c r="H60" i="2"/>
  <c r="C59" i="2"/>
  <c r="D55" i="2"/>
  <c r="H25" i="2"/>
  <c r="H22" i="2"/>
  <c r="E45" i="2" s="1"/>
  <c r="H61" i="2"/>
  <c r="B43" i="4"/>
  <c r="H36" i="4"/>
  <c r="H33" i="4"/>
  <c r="H38" i="4" s="1"/>
  <c r="H56" i="2"/>
  <c r="H55" i="2"/>
  <c r="H58" i="2" s="1"/>
  <c r="B35" i="5" l="1"/>
  <c r="E36" i="5"/>
  <c r="B36" i="5" s="1"/>
  <c r="B40" i="5" s="1"/>
  <c r="H16" i="5"/>
  <c r="H23" i="5"/>
  <c r="H20" i="5"/>
  <c r="E40" i="5" s="1"/>
  <c r="H35" i="1"/>
  <c r="H45" i="1"/>
  <c r="F24" i="1"/>
  <c r="G15" i="1" s="1"/>
  <c r="F27" i="1"/>
  <c r="H11" i="1"/>
  <c r="E35" i="1"/>
  <c r="B54" i="6"/>
  <c r="H49" i="6"/>
  <c r="H43" i="6"/>
  <c r="C53" i="6"/>
  <c r="G49" i="6"/>
  <c r="H42" i="6"/>
  <c r="H24" i="6"/>
  <c r="H21" i="6"/>
  <c r="E43" i="6" s="1"/>
  <c r="D57" i="2"/>
  <c r="B60" i="2"/>
  <c r="B62" i="2"/>
  <c r="C62" i="2" s="1"/>
  <c r="E32" i="5"/>
  <c r="G23" i="5"/>
  <c r="E22" i="5" s="1"/>
  <c r="G20" i="5"/>
  <c r="E39" i="5" s="1"/>
  <c r="H12" i="5"/>
  <c r="F23" i="5"/>
  <c r="F20" i="5"/>
  <c r="E44" i="1"/>
  <c r="G21" i="1"/>
  <c r="E45" i="1" s="1"/>
  <c r="E41" i="1"/>
  <c r="G18" i="1"/>
  <c r="E42" i="1" s="1"/>
  <c r="H50" i="6"/>
  <c r="H51" i="6"/>
  <c r="H52" i="6"/>
  <c r="G50" i="6"/>
  <c r="G51" i="6"/>
  <c r="G52" i="6"/>
  <c r="G16" i="1" l="1"/>
  <c r="E39" i="1"/>
  <c r="B39" i="1"/>
  <c r="H15" i="1"/>
  <c r="F50" i="6"/>
  <c r="F52" i="6"/>
  <c r="B59" i="6"/>
  <c r="E58" i="6" s="1"/>
  <c r="F49" i="6"/>
  <c r="F56" i="6" s="1"/>
  <c r="F51" i="6"/>
  <c r="F53" i="6"/>
  <c r="C59" i="6"/>
  <c r="E59" i="6" s="1"/>
  <c r="F55" i="6"/>
  <c r="F54" i="6"/>
  <c r="C60" i="2"/>
  <c r="C66" i="2" s="1"/>
  <c r="E66" i="2" s="1"/>
  <c r="B66" i="2"/>
  <c r="E65" i="2" s="1"/>
  <c r="B67" i="2"/>
  <c r="H56" i="6"/>
  <c r="G56" i="6"/>
  <c r="C57" i="2"/>
  <c r="D66" i="2"/>
  <c r="E67" i="2" s="1"/>
  <c r="H36" i="1"/>
  <c r="H37" i="1"/>
  <c r="H16" i="1" l="1"/>
  <c r="B40" i="1"/>
  <c r="B48" i="1" s="1"/>
  <c r="E40" i="1"/>
  <c r="G27" i="1"/>
  <c r="E26" i="1" s="1"/>
  <c r="G24" i="1"/>
  <c r="E47" i="1" s="1"/>
  <c r="F47" i="1"/>
  <c r="H42" i="1"/>
  <c r="H24" i="1" l="1"/>
  <c r="E48" i="1" s="1"/>
  <c r="H27" i="1"/>
</calcChain>
</file>

<file path=xl/sharedStrings.xml><?xml version="1.0" encoding="utf-8"?>
<sst xmlns="http://schemas.openxmlformats.org/spreadsheetml/2006/main" count="313" uniqueCount="134">
  <si>
    <t>oxide</t>
  </si>
  <si>
    <t>MolWt</t>
  </si>
  <si>
    <t>cation</t>
  </si>
  <si>
    <t>#cations</t>
  </si>
  <si>
    <t>#oxygen</t>
  </si>
  <si>
    <t>SiO2</t>
  </si>
  <si>
    <t>Si</t>
  </si>
  <si>
    <t>TiO2</t>
  </si>
  <si>
    <t>Ti</t>
  </si>
  <si>
    <t>Al2O3</t>
  </si>
  <si>
    <t>Al</t>
  </si>
  <si>
    <t>Fe2O3</t>
  </si>
  <si>
    <t>Fe3</t>
  </si>
  <si>
    <t>Cr2O3</t>
  </si>
  <si>
    <t>Cr</t>
  </si>
  <si>
    <t>FeO</t>
  </si>
  <si>
    <t>Fe2</t>
  </si>
  <si>
    <t>MnO</t>
  </si>
  <si>
    <t>Mn</t>
  </si>
  <si>
    <t>MgO</t>
  </si>
  <si>
    <t>Mg</t>
  </si>
  <si>
    <t>CaO</t>
  </si>
  <si>
    <t>Ca</t>
  </si>
  <si>
    <t>Na2O</t>
  </si>
  <si>
    <t>Na</t>
  </si>
  <si>
    <t>K2O</t>
  </si>
  <si>
    <t>K</t>
  </si>
  <si>
    <t>Recalculation of a pyroxene anlaysis (all Fe as FeO) and solving for Fe+3</t>
  </si>
  <si>
    <t>Sample calculation below is shown for a clinopyroxene from a lherzolite.</t>
  </si>
  <si>
    <t>analysis</t>
  </si>
  <si>
    <t>mole</t>
  </si>
  <si>
    <t>norm.</t>
  </si>
  <si>
    <t>atom</t>
  </si>
  <si>
    <t>norm</t>
  </si>
  <si>
    <t>wt %</t>
  </si>
  <si>
    <t>cations</t>
  </si>
  <si>
    <t>oxygen</t>
  </si>
  <si>
    <t>units</t>
  </si>
  <si>
    <t>total</t>
  </si>
  <si>
    <t>Results of normalization are given in the box, below.  If some Fe was calculated to</t>
  </si>
  <si>
    <t>Normalized Analysis</t>
  </si>
  <si>
    <t>end</t>
  </si>
  <si>
    <t>atoms</t>
  </si>
  <si>
    <t>member</t>
  </si>
  <si>
    <t>%</t>
  </si>
  <si>
    <t>tot. cat.</t>
  </si>
  <si>
    <t>tot. oxy.</t>
  </si>
  <si>
    <t>Recalculation of a spinel anlaysis (all Fe as FeO) and solving for Fe+3</t>
  </si>
  <si>
    <t>Sample calculation below is shown for a spinel from the Adirondacks.</t>
  </si>
  <si>
    <t>Results of normalization are given in the box, below.  Because some Fe was calculated to</t>
  </si>
  <si>
    <t>be Fe3+, the total for the analysis increased.</t>
  </si>
  <si>
    <t>Recalculation of an olivine anlaysis (all Fe as FeO) and solving for Fe+3</t>
  </si>
  <si>
    <t>Sample calculation below is shown for an olivine from a lherzolite.</t>
  </si>
  <si>
    <t>Te</t>
  </si>
  <si>
    <t>Fo</t>
  </si>
  <si>
    <t>Fa</t>
  </si>
  <si>
    <t>Ca-Ol</t>
  </si>
  <si>
    <t>Recalculation of a feldspar anlaysis (all Fe as FeO) and solving for Fe+3</t>
  </si>
  <si>
    <t>An</t>
  </si>
  <si>
    <t>Ab</t>
  </si>
  <si>
    <t>Or</t>
  </si>
  <si>
    <t>BaO</t>
  </si>
  <si>
    <t>Ba</t>
  </si>
  <si>
    <t>be Fe3+, the total for the analysis will inrease.</t>
  </si>
  <si>
    <t>End member %s are based on Ca, Mg, Fe-total ratios only.</t>
  </si>
  <si>
    <t>Recalculation of a garnet anlaysis (all Fe as FeO) and solving for Fe+3</t>
  </si>
  <si>
    <t>cubic</t>
  </si>
  <si>
    <t>octahedral</t>
  </si>
  <si>
    <t>tetrahedral</t>
  </si>
  <si>
    <t>4-fold</t>
  </si>
  <si>
    <t>6-fold</t>
  </si>
  <si>
    <t>8-fold</t>
  </si>
  <si>
    <t>ideal</t>
  </si>
  <si>
    <t>almandine</t>
  </si>
  <si>
    <t>grossular</t>
  </si>
  <si>
    <t>pyrope</t>
  </si>
  <si>
    <t>spessartine</t>
  </si>
  <si>
    <t>uvarovite</t>
  </si>
  <si>
    <t>andradite</t>
  </si>
  <si>
    <t>mol %</t>
  </si>
  <si>
    <t>Ca-Ti Gt</t>
  </si>
  <si>
    <t>sum</t>
  </si>
  <si>
    <t>Site Occupancies &amp; End Members</t>
  </si>
  <si>
    <t>Fe3+, etc.</t>
  </si>
  <si>
    <t>Sample calculation below is shown for a garnet from an Napak, Uganda</t>
  </si>
  <si>
    <t>%*</t>
  </si>
  <si>
    <t>If you omit a value for Fe2O3, it will be calculated, if possible, from charge balance.</t>
  </si>
  <si>
    <t>Si, Al assigned to tetrahedral (T) site.</t>
  </si>
  <si>
    <t>Ca,Na,Mn,Fe2+,Mg assigned to M2 octahedral site.</t>
  </si>
  <si>
    <t>Fe3+,Ti,Al,Fe2+, Mg assigned to M1 octahedral site,</t>
  </si>
  <si>
    <t>Analysis</t>
  </si>
  <si>
    <t>M2 (VI)</t>
  </si>
  <si>
    <t>M1 (VI)</t>
  </si>
  <si>
    <t>T (IV)</t>
  </si>
  <si>
    <t>(Fe2+/Mg) assumed the same in M1 and M2</t>
  </si>
  <si>
    <r>
      <t xml:space="preserve">Replace numbers in </t>
    </r>
    <r>
      <rPr>
        <sz val="10"/>
        <color indexed="10"/>
        <rFont val="Arial"/>
        <family val="2"/>
      </rPr>
      <t>red</t>
    </r>
    <r>
      <rPr>
        <sz val="10"/>
        <rFont val="Arial"/>
      </rPr>
      <t xml:space="preserve"> with your analysis to normalize your sample.</t>
    </r>
  </si>
  <si>
    <r>
      <t xml:space="preserve">Do not include a value for Fe2O3 </t>
    </r>
    <r>
      <rPr>
        <sz val="10"/>
        <color indexed="12"/>
        <rFont val="Arial"/>
        <family val="2"/>
      </rPr>
      <t>(in blue)</t>
    </r>
    <r>
      <rPr>
        <sz val="10"/>
        <rFont val="Arial"/>
      </rPr>
      <t xml:space="preserve"> unless it was determined by analysis.</t>
    </r>
  </si>
  <si>
    <t>*based on Ca,</t>
  </si>
  <si>
    <t xml:space="preserve">  Na, K ratios only</t>
  </si>
  <si>
    <t>ideal =</t>
  </si>
  <si>
    <t>Ca+Na+K=</t>
  </si>
  <si>
    <t>calculated charge</t>
  </si>
  <si>
    <t>cation ratio</t>
  </si>
  <si>
    <t>total Fe</t>
  </si>
  <si>
    <t>Fe2+</t>
  </si>
  <si>
    <t>with</t>
  </si>
  <si>
    <t>member*</t>
  </si>
  <si>
    <t>Sample calculation below is shown for a labradorite</t>
  </si>
  <si>
    <t>Si+Ti+Al+Fe3=</t>
  </si>
  <si>
    <t>Fe2/Fe2+Mg</t>
  </si>
  <si>
    <t>FeT/FeT+Mg</t>
  </si>
  <si>
    <t>XWo = Ca/Ca+Mg+FeT</t>
  </si>
  <si>
    <t>XEn = Mg/Ca+Mg+FeT</t>
  </si>
  <si>
    <t>XFs = FeT/Ca+Mg+FeT</t>
  </si>
  <si>
    <t>desired</t>
  </si>
  <si>
    <t>End member %s are based on Mn (Te), Mg (Fo), Fe-total (Fa), and Ca ratios only.</t>
  </si>
  <si>
    <t xml:space="preserve"> </t>
  </si>
  <si>
    <t>X(Fe)</t>
  </si>
  <si>
    <t>Changing from element wt% to oxide wt%</t>
  </si>
  <si>
    <t>Only include Si, Ti, Al, Mn, Mg, Ca, Na, K -- the other elements are not accurate enough to be meaningful.</t>
  </si>
  <si>
    <t>Fe</t>
  </si>
  <si>
    <t>cation wt</t>
  </si>
  <si>
    <t>elem</t>
  </si>
  <si>
    <t>at wt</t>
  </si>
  <si>
    <t>B</t>
  </si>
  <si>
    <t>C</t>
  </si>
  <si>
    <t># cations</t>
  </si>
  <si>
    <t>in oxide</t>
  </si>
  <si>
    <t># oxygen</t>
  </si>
  <si>
    <r>
      <t xml:space="preserve">Oxide wt % values appear in </t>
    </r>
    <r>
      <rPr>
        <sz val="10"/>
        <color indexed="12"/>
        <rFont val="Arial"/>
        <family val="2"/>
      </rPr>
      <t>blue</t>
    </r>
    <r>
      <rPr>
        <sz val="10"/>
        <rFont val="Arial"/>
      </rPr>
      <t>; cut and copy them into the appropriate mineral normalization spread sheet.</t>
    </r>
  </si>
  <si>
    <t>When you paste, use the Paste Special&gt;Values option.</t>
  </si>
  <si>
    <r>
      <t>Do not include a value for Fe2O3</t>
    </r>
    <r>
      <rPr>
        <sz val="10"/>
        <rFont val="Arial"/>
      </rPr>
      <t xml:space="preserve"> unless it was determined by analysis.</t>
    </r>
  </si>
  <si>
    <r>
      <t xml:space="preserve">Replace numbers in </t>
    </r>
    <r>
      <rPr>
        <sz val="10"/>
        <color indexed="10"/>
        <rFont val="Arial"/>
        <family val="2"/>
      </rPr>
      <t>red</t>
    </r>
    <r>
      <rPr>
        <sz val="10"/>
        <rFont val="Arial"/>
      </rPr>
      <t xml:space="preserve"> with your analysis (element wt %) to convert to oxide wt %.</t>
    </r>
  </si>
  <si>
    <t>normlalized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</si>
</sst>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0.000"/>
    <numFmt numFmtId="171" formatCode="0.0000"/>
    <numFmt numFmtId="172" formatCode="0.000000"/>
    <numFmt numFmtId="173" formatCode="0.00000"/>
  </numFmts>
  <fonts count="13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u/>
      <sz val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8" xfId="0" applyFont="1" applyBorder="1"/>
    <xf numFmtId="0" fontId="3" fillId="0" borderId="0" xfId="0" applyFont="1"/>
    <xf numFmtId="0" fontId="4" fillId="0" borderId="0" xfId="0" applyFont="1" applyFill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0" xfId="0" applyNumberFormat="1" applyBorder="1"/>
    <xf numFmtId="2" fontId="0" fillId="0" borderId="6" xfId="0" applyNumberFormat="1" applyBorder="1"/>
    <xf numFmtId="2" fontId="4" fillId="0" borderId="0" xfId="0" applyNumberFormat="1" applyFont="1"/>
    <xf numFmtId="2" fontId="0" fillId="0" borderId="0" xfId="0" applyNumberFormat="1"/>
    <xf numFmtId="170" fontId="0" fillId="0" borderId="0" xfId="0" applyNumberFormat="1"/>
    <xf numFmtId="2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right"/>
    </xf>
    <xf numFmtId="170" fontId="0" fillId="0" borderId="0" xfId="0" applyNumberFormat="1" applyBorder="1" applyAlignment="1">
      <alignment horizontal="center"/>
    </xf>
    <xf numFmtId="170" fontId="0" fillId="0" borderId="6" xfId="0" applyNumberFormat="1" applyBorder="1" applyAlignment="1">
      <alignment horizontal="center"/>
    </xf>
    <xf numFmtId="0" fontId="0" fillId="0" borderId="0" xfId="0" applyAlignment="1">
      <alignment horizontal="right"/>
    </xf>
    <xf numFmtId="2" fontId="4" fillId="0" borderId="0" xfId="0" applyNumberFormat="1" applyFont="1" applyFill="1"/>
    <xf numFmtId="170" fontId="0" fillId="0" borderId="4" xfId="0" applyNumberForma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3" xfId="0" applyNumberFormat="1" applyBorder="1"/>
    <xf numFmtId="2" fontId="0" fillId="0" borderId="1" xfId="0" applyNumberFormat="1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0" fillId="0" borderId="0" xfId="0" applyNumberFormat="1" applyBorder="1" applyAlignment="1">
      <alignment horizontal="right"/>
    </xf>
    <xf numFmtId="0" fontId="4" fillId="0" borderId="0" xfId="0" applyFont="1"/>
    <xf numFmtId="0" fontId="2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4" xfId="0" applyNumberFormat="1" applyBorder="1"/>
    <xf numFmtId="0" fontId="2" fillId="0" borderId="0" xfId="0" applyFont="1" applyFill="1" applyBorder="1" applyAlignment="1">
      <alignment horizontal="center"/>
    </xf>
    <xf numFmtId="2" fontId="4" fillId="0" borderId="0" xfId="1" applyNumberFormat="1" applyFont="1" applyBorder="1"/>
    <xf numFmtId="2" fontId="6" fillId="0" borderId="0" xfId="1" applyNumberFormat="1" applyFont="1" applyBorder="1"/>
    <xf numFmtId="170" fontId="0" fillId="0" borderId="6" xfId="0" applyNumberFormat="1" applyBorder="1"/>
    <xf numFmtId="0" fontId="0" fillId="0" borderId="4" xfId="0" applyBorder="1" applyAlignment="1">
      <alignment horizontal="right"/>
    </xf>
    <xf numFmtId="170" fontId="0" fillId="0" borderId="4" xfId="0" applyNumberFormat="1" applyBorder="1"/>
    <xf numFmtId="0" fontId="3" fillId="0" borderId="1" xfId="0" applyFont="1" applyBorder="1"/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2" fontId="0" fillId="0" borderId="7" xfId="0" applyNumberFormat="1" applyBorder="1" applyAlignment="1">
      <alignment horizontal="right"/>
    </xf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0" fontId="0" fillId="0" borderId="0" xfId="0" applyFill="1" applyBorder="1" applyAlignment="1">
      <alignment horizontal="right"/>
    </xf>
    <xf numFmtId="171" fontId="0" fillId="0" borderId="0" xfId="0" applyNumberFormat="1" applyBorder="1"/>
    <xf numFmtId="0" fontId="4" fillId="0" borderId="0" xfId="0" applyFont="1" applyAlignment="1">
      <alignment horizontal="left"/>
    </xf>
    <xf numFmtId="170" fontId="0" fillId="0" borderId="0" xfId="0" applyNumberFormat="1" applyBorder="1"/>
    <xf numFmtId="170" fontId="0" fillId="0" borderId="7" xfId="0" applyNumberFormat="1" applyBorder="1"/>
    <xf numFmtId="2" fontId="0" fillId="0" borderId="6" xfId="0" applyNumberFormat="1" applyBorder="1" applyAlignment="1">
      <alignment horizontal="right"/>
    </xf>
    <xf numFmtId="0" fontId="2" fillId="0" borderId="1" xfId="0" applyFont="1" applyBorder="1"/>
    <xf numFmtId="0" fontId="4" fillId="0" borderId="0" xfId="0" applyFont="1" applyBorder="1" applyAlignment="1">
      <alignment horizontal="left"/>
    </xf>
    <xf numFmtId="2" fontId="0" fillId="0" borderId="2" xfId="0" applyNumberFormat="1" applyBorder="1" applyAlignment="1">
      <alignment horizontal="right"/>
    </xf>
    <xf numFmtId="0" fontId="2" fillId="0" borderId="5" xfId="0" applyFont="1" applyBorder="1"/>
    <xf numFmtId="0" fontId="4" fillId="0" borderId="6" xfId="0" applyFont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70" fontId="4" fillId="0" borderId="0" xfId="0" applyNumberFormat="1" applyFont="1" applyBorder="1"/>
    <xf numFmtId="0" fontId="2" fillId="0" borderId="0" xfId="0" applyFont="1" applyBorder="1"/>
    <xf numFmtId="170" fontId="2" fillId="0" borderId="4" xfId="0" applyNumberFormat="1" applyFont="1" applyBorder="1"/>
    <xf numFmtId="0" fontId="2" fillId="0" borderId="0" xfId="0" applyFont="1" applyFill="1" applyBorder="1"/>
    <xf numFmtId="0" fontId="4" fillId="0" borderId="6" xfId="0" applyFont="1" applyBorder="1"/>
    <xf numFmtId="0" fontId="2" fillId="0" borderId="0" xfId="0" applyFont="1" applyBorder="1" applyAlignment="1">
      <alignment horizontal="right"/>
    </xf>
    <xf numFmtId="0" fontId="2" fillId="0" borderId="9" xfId="0" applyFont="1" applyBorder="1"/>
    <xf numFmtId="2" fontId="6" fillId="0" borderId="0" xfId="0" applyNumberFormat="1" applyFont="1"/>
    <xf numFmtId="2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70" fontId="6" fillId="0" borderId="4" xfId="0" applyNumberFormat="1" applyFont="1" applyBorder="1"/>
    <xf numFmtId="170" fontId="6" fillId="0" borderId="7" xfId="0" applyNumberFormat="1" applyFont="1" applyBorder="1"/>
    <xf numFmtId="0" fontId="11" fillId="0" borderId="0" xfId="0" applyFont="1"/>
    <xf numFmtId="170" fontId="10" fillId="0" borderId="0" xfId="0" applyNumberFormat="1" applyFont="1"/>
    <xf numFmtId="2" fontId="12" fillId="3" borderId="0" xfId="0" applyNumberFormat="1" applyFont="1" applyFill="1" applyAlignment="1">
      <alignment horizontal="center"/>
    </xf>
    <xf numFmtId="2" fontId="11" fillId="3" borderId="0" xfId="0" applyNumberFormat="1" applyFont="1" applyFill="1" applyAlignment="1">
      <alignment horizontal="center" vertical="center" wrapText="1"/>
    </xf>
    <xf numFmtId="2" fontId="11" fillId="3" borderId="0" xfId="0" applyNumberFormat="1" applyFont="1" applyFill="1" applyAlignment="1">
      <alignment horizontal="center"/>
    </xf>
  </cellXfs>
  <cellStyles count="2">
    <cellStyle name="Normal" xfId="0" builtinId="0"/>
    <cellStyle name="Normal_Garnet" xfId="1" xr:uid="{EA1A1C6B-C289-F84A-95E7-C98C6AAFA21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75AD-69B7-DB42-B6B7-FB07CC80E35B}">
  <dimension ref="A1:I25"/>
  <sheetViews>
    <sheetView tabSelected="1" workbookViewId="0">
      <selection activeCell="I16" sqref="I16"/>
    </sheetView>
  </sheetViews>
  <sheetFormatPr baseColWidth="10" defaultColWidth="8.83203125" defaultRowHeight="13" x14ac:dyDescent="0.15"/>
  <cols>
    <col min="8" max="8" width="7.1640625" customWidth="1"/>
    <col min="9" max="9" width="10.5" customWidth="1"/>
  </cols>
  <sheetData>
    <row r="1" spans="1:9" x14ac:dyDescent="0.15">
      <c r="A1" s="10" t="s">
        <v>118</v>
      </c>
    </row>
    <row r="3" spans="1:9" x14ac:dyDescent="0.15">
      <c r="A3" t="s">
        <v>107</v>
      </c>
    </row>
    <row r="4" spans="1:9" x14ac:dyDescent="0.15">
      <c r="A4" t="s">
        <v>132</v>
      </c>
    </row>
    <row r="5" spans="1:9" x14ac:dyDescent="0.15">
      <c r="A5" t="s">
        <v>119</v>
      </c>
    </row>
    <row r="6" spans="1:9" x14ac:dyDescent="0.15">
      <c r="A6" t="s">
        <v>129</v>
      </c>
    </row>
    <row r="7" spans="1:9" x14ac:dyDescent="0.15">
      <c r="A7" t="s">
        <v>130</v>
      </c>
    </row>
    <row r="8" spans="1:9" x14ac:dyDescent="0.15">
      <c r="A8" s="45" t="s">
        <v>90</v>
      </c>
      <c r="B8" s="1" t="s">
        <v>29</v>
      </c>
      <c r="C8" s="1" t="s">
        <v>124</v>
      </c>
      <c r="D8" s="1" t="s">
        <v>125</v>
      </c>
      <c r="E8" s="1"/>
      <c r="F8" s="1"/>
      <c r="G8" s="1"/>
      <c r="H8" s="1"/>
      <c r="I8" s="2" t="s">
        <v>133</v>
      </c>
    </row>
    <row r="9" spans="1:9" x14ac:dyDescent="0.15">
      <c r="B9" s="25" t="s">
        <v>29</v>
      </c>
      <c r="C9" s="25" t="s">
        <v>122</v>
      </c>
      <c r="D9" s="25" t="s">
        <v>0</v>
      </c>
      <c r="E9" s="25" t="s">
        <v>126</v>
      </c>
      <c r="F9" s="25" t="s">
        <v>128</v>
      </c>
      <c r="G9" s="25" t="s">
        <v>0</v>
      </c>
      <c r="H9" s="25" t="s">
        <v>0</v>
      </c>
      <c r="I9" s="43" t="s">
        <v>0</v>
      </c>
    </row>
    <row r="10" spans="1:9" x14ac:dyDescent="0.15">
      <c r="A10" t="s">
        <v>0</v>
      </c>
      <c r="B10" s="25" t="s">
        <v>34</v>
      </c>
      <c r="C10" s="25" t="s">
        <v>123</v>
      </c>
      <c r="D10" s="25" t="s">
        <v>123</v>
      </c>
      <c r="E10" s="25" t="s">
        <v>127</v>
      </c>
      <c r="F10" s="25" t="s">
        <v>127</v>
      </c>
      <c r="G10" s="25" t="s">
        <v>34</v>
      </c>
      <c r="H10" s="25"/>
      <c r="I10" s="43" t="s">
        <v>34</v>
      </c>
    </row>
    <row r="11" spans="1:9" x14ac:dyDescent="0.15">
      <c r="A11" t="s">
        <v>6</v>
      </c>
      <c r="B11" s="26">
        <v>30.526</v>
      </c>
      <c r="C11" s="20">
        <f>'Periodic Table'!F4</f>
        <v>28.0855</v>
      </c>
      <c r="D11" s="20">
        <f>'Periodic Table'!B4</f>
        <v>60.084299999999999</v>
      </c>
      <c r="E11" s="20">
        <f>'Periodic Table'!D4</f>
        <v>1</v>
      </c>
      <c r="F11" s="20">
        <f>'Periodic Table'!E4</f>
        <v>2</v>
      </c>
      <c r="G11" s="20">
        <f>B11*D11/(C11*E11)</f>
        <v>65.305347663385021</v>
      </c>
      <c r="H11" s="20" t="str">
        <f>'Periodic Table'!A4</f>
        <v>SiO2</v>
      </c>
      <c r="I11" s="81">
        <f>G11*100/G$24</f>
        <v>63.903187180107494</v>
      </c>
    </row>
    <row r="12" spans="1:9" x14ac:dyDescent="0.15">
      <c r="A12" t="s">
        <v>8</v>
      </c>
      <c r="B12" s="26"/>
      <c r="C12" s="20">
        <f>'Periodic Table'!F5</f>
        <v>47.9</v>
      </c>
      <c r="D12" s="20">
        <f>'Periodic Table'!B5</f>
        <v>79.898799999999994</v>
      </c>
      <c r="E12" s="20">
        <f>'Periodic Table'!D5</f>
        <v>1</v>
      </c>
      <c r="F12" s="20">
        <f>'Periodic Table'!E5</f>
        <v>2</v>
      </c>
      <c r="G12" s="20">
        <f>B12*D12/(C12*E12)</f>
        <v>0</v>
      </c>
      <c r="H12" s="20" t="str">
        <f>'Periodic Table'!A5</f>
        <v>TiO2</v>
      </c>
      <c r="I12" s="81">
        <f>G12*100/G$24</f>
        <v>0</v>
      </c>
    </row>
    <row r="13" spans="1:9" x14ac:dyDescent="0.15">
      <c r="A13" t="s">
        <v>10</v>
      </c>
      <c r="B13" s="26">
        <v>1.7629999999999999</v>
      </c>
      <c r="C13" s="20">
        <f>'Periodic Table'!F6</f>
        <v>26.981539999999999</v>
      </c>
      <c r="D13" s="20">
        <f>'Periodic Table'!B6</f>
        <v>101.96127999999999</v>
      </c>
      <c r="E13" s="20">
        <f>'Periodic Table'!D6</f>
        <v>2</v>
      </c>
      <c r="F13" s="20">
        <f>'Periodic Table'!E6</f>
        <v>3</v>
      </c>
      <c r="G13" s="20">
        <f>B13*D13/(C13*E13)</f>
        <v>3.3311244769572079</v>
      </c>
      <c r="H13" s="20" t="str">
        <f>'Periodic Table'!A6</f>
        <v>Al2O3</v>
      </c>
      <c r="I13" s="81">
        <f>G13*100/G$24</f>
        <v>3.2596024458588775</v>
      </c>
    </row>
    <row r="14" spans="1:9" x14ac:dyDescent="0.15">
      <c r="B14" s="26"/>
      <c r="C14" s="20"/>
      <c r="D14" s="20"/>
      <c r="E14" s="20"/>
      <c r="F14" s="20"/>
      <c r="G14" s="20"/>
      <c r="H14" s="20"/>
      <c r="I14" s="81"/>
    </row>
    <row r="15" spans="1:9" x14ac:dyDescent="0.15">
      <c r="B15" s="26"/>
      <c r="C15" s="20"/>
      <c r="D15" s="20"/>
      <c r="E15" s="20"/>
      <c r="F15" s="20"/>
      <c r="G15" s="20"/>
      <c r="H15" s="20"/>
      <c r="I15" s="81"/>
    </row>
    <row r="16" spans="1:9" x14ac:dyDescent="0.15">
      <c r="A16" t="s">
        <v>120</v>
      </c>
      <c r="B16" s="26">
        <v>9.1809999999999992</v>
      </c>
      <c r="C16" s="20">
        <f>'Periodic Table'!F9</f>
        <v>55.847000000000001</v>
      </c>
      <c r="D16" s="20">
        <f>'Periodic Table'!B9</f>
        <v>71.846400000000003</v>
      </c>
      <c r="E16" s="20">
        <f>'Periodic Table'!D9</f>
        <v>1</v>
      </c>
      <c r="F16" s="20">
        <f>'Periodic Table'!E9</f>
        <v>1</v>
      </c>
      <c r="G16" s="20">
        <f>B16*D16/(C16*E16)</f>
        <v>11.811230655182911</v>
      </c>
      <c r="H16" s="20" t="str">
        <f>'Periodic Table'!A9</f>
        <v>FeO</v>
      </c>
      <c r="I16" s="81">
        <f>G16*100/G$24</f>
        <v>11.557633645502506</v>
      </c>
    </row>
    <row r="17" spans="1:9" x14ac:dyDescent="0.15">
      <c r="A17" t="s">
        <v>18</v>
      </c>
      <c r="B17" s="26"/>
      <c r="C17" s="20">
        <f>'Periodic Table'!F10</f>
        <v>54.938000000000002</v>
      </c>
      <c r="D17" s="20">
        <f>'Periodic Table'!B10</f>
        <v>70.937399999999997</v>
      </c>
      <c r="E17" s="20">
        <f>'Periodic Table'!D10</f>
        <v>1</v>
      </c>
      <c r="F17" s="20">
        <f>'Periodic Table'!E10</f>
        <v>1</v>
      </c>
      <c r="G17" s="20">
        <f>B17*D17/(C17*E17)</f>
        <v>0</v>
      </c>
      <c r="H17" s="20" t="str">
        <f>'Periodic Table'!A10</f>
        <v>MnO</v>
      </c>
      <c r="I17" s="81"/>
    </row>
    <row r="18" spans="1:9" x14ac:dyDescent="0.15">
      <c r="A18" t="s">
        <v>20</v>
      </c>
      <c r="B18" s="26">
        <v>12.324999999999999</v>
      </c>
      <c r="C18" s="20">
        <f>'Periodic Table'!F11</f>
        <v>24.305</v>
      </c>
      <c r="D18" s="20">
        <f>'Periodic Table'!B11</f>
        <v>40.304400000000001</v>
      </c>
      <c r="E18" s="20">
        <f>'Periodic Table'!D11</f>
        <v>1</v>
      </c>
      <c r="F18" s="20">
        <f>'Periodic Table'!E11</f>
        <v>1</v>
      </c>
      <c r="G18" s="20">
        <f>B18*D18/(C18*E18)</f>
        <v>20.438252622917094</v>
      </c>
      <c r="H18" s="20" t="str">
        <f>'Periodic Table'!A11</f>
        <v>MgO</v>
      </c>
      <c r="I18" s="81">
        <f>G18*100/G$24</f>
        <v>19.999426229666526</v>
      </c>
    </row>
    <row r="19" spans="1:9" x14ac:dyDescent="0.15">
      <c r="A19" t="s">
        <v>22</v>
      </c>
      <c r="B19" s="26">
        <v>0.93500000000000005</v>
      </c>
      <c r="C19" s="20">
        <f>'Periodic Table'!F12</f>
        <v>40.08</v>
      </c>
      <c r="D19" s="20">
        <f>'Periodic Table'!B12</f>
        <v>56.0794</v>
      </c>
      <c r="E19" s="20">
        <f>'Periodic Table'!D12</f>
        <v>1</v>
      </c>
      <c r="F19" s="20">
        <f>'Periodic Table'!E12</f>
        <v>1</v>
      </c>
      <c r="G19" s="20">
        <f>B19*D19/(C19*E19)</f>
        <v>1.3082394960079842</v>
      </c>
      <c r="H19" s="20" t="str">
        <f>'Periodic Table'!A12</f>
        <v>CaO</v>
      </c>
      <c r="I19" s="81">
        <f>G19*100/G$24</f>
        <v>1.2801504988645882</v>
      </c>
    </row>
    <row r="20" spans="1:9" x14ac:dyDescent="0.15">
      <c r="B20" s="26"/>
      <c r="C20" s="20"/>
      <c r="D20" s="20"/>
      <c r="E20" s="20"/>
      <c r="F20" s="20"/>
      <c r="G20" s="20"/>
      <c r="H20" s="20"/>
      <c r="I20" s="81"/>
    </row>
    <row r="21" spans="1:9" x14ac:dyDescent="0.15">
      <c r="A21" t="s">
        <v>24</v>
      </c>
      <c r="B21" s="26"/>
      <c r="C21" s="20">
        <f>'Periodic Table'!F14</f>
        <v>22.98977</v>
      </c>
      <c r="D21" s="20">
        <f>'Periodic Table'!B14</f>
        <v>61.978940000000001</v>
      </c>
      <c r="E21" s="20">
        <f>'Periodic Table'!D14</f>
        <v>2</v>
      </c>
      <c r="F21" s="20">
        <f>'Periodic Table'!E14</f>
        <v>1</v>
      </c>
      <c r="G21" s="20">
        <f>B21*D21/(C21*E21)</f>
        <v>0</v>
      </c>
      <c r="H21" s="20" t="str">
        <f>'Periodic Table'!A14</f>
        <v>Na2O</v>
      </c>
      <c r="I21" s="81">
        <f>G21*100/G$24</f>
        <v>0</v>
      </c>
    </row>
    <row r="22" spans="1:9" x14ac:dyDescent="0.15">
      <c r="A22" t="s">
        <v>26</v>
      </c>
      <c r="B22" s="26"/>
      <c r="C22" s="20">
        <f>'Periodic Table'!F15</f>
        <v>39.098300000000002</v>
      </c>
      <c r="D22" s="20">
        <f>'Periodic Table'!B15</f>
        <v>94.195999999999998</v>
      </c>
      <c r="E22" s="20">
        <f>'Periodic Table'!D15</f>
        <v>2</v>
      </c>
      <c r="F22" s="20">
        <f>'Periodic Table'!E15</f>
        <v>1</v>
      </c>
      <c r="G22" s="20">
        <f>B22*D22/(C22*E22)</f>
        <v>0</v>
      </c>
      <c r="H22" s="20" t="str">
        <f>'Periodic Table'!A15</f>
        <v>K2O</v>
      </c>
      <c r="I22" s="81">
        <f>G22*100/G$24</f>
        <v>0</v>
      </c>
    </row>
    <row r="23" spans="1:9" x14ac:dyDescent="0.15">
      <c r="B23" s="19"/>
      <c r="C23" s="20"/>
      <c r="D23" s="20"/>
      <c r="E23" s="20"/>
      <c r="F23" s="20"/>
      <c r="G23" s="20"/>
      <c r="H23" s="20"/>
      <c r="I23" s="81"/>
    </row>
    <row r="24" spans="1:9" x14ac:dyDescent="0.15">
      <c r="A24" t="s">
        <v>38</v>
      </c>
      <c r="B24" s="19">
        <f>SUM(B11:B22)</f>
        <v>54.730000000000004</v>
      </c>
      <c r="C24" s="20"/>
      <c r="D24" s="20"/>
      <c r="E24" s="20"/>
      <c r="F24" s="20"/>
      <c r="G24" s="20">
        <f>SUM(G11:G22)</f>
        <v>102.19419491445022</v>
      </c>
      <c r="H24" s="20"/>
      <c r="I24" s="81">
        <f>SUM(I11:I22)</f>
        <v>99.999999999999986</v>
      </c>
    </row>
    <row r="25" spans="1:9" x14ac:dyDescent="0.15">
      <c r="A25" s="7" t="s">
        <v>72</v>
      </c>
      <c r="B25" s="17"/>
      <c r="C25" s="42"/>
      <c r="D25" s="42"/>
      <c r="E25" s="42"/>
      <c r="F25" s="42"/>
      <c r="G25" s="42">
        <v>100</v>
      </c>
      <c r="H25" s="42"/>
      <c r="I25" s="82"/>
    </row>
  </sheetData>
  <phoneticPr fontId="2" type="noConversion"/>
  <pageMargins left="0.75" right="0.75" top="1" bottom="1" header="0.5" footer="0.5"/>
  <pageSetup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3C25-3CF4-5A45-8045-52618B695248}">
  <dimension ref="A1:P48"/>
  <sheetViews>
    <sheetView topLeftCell="A3" workbookViewId="0">
      <selection activeCell="G15" sqref="G15"/>
    </sheetView>
  </sheetViews>
  <sheetFormatPr baseColWidth="10" defaultColWidth="8.83203125" defaultRowHeight="13" x14ac:dyDescent="0.15"/>
  <sheetData>
    <row r="1" spans="1:16" x14ac:dyDescent="0.15">
      <c r="A1" s="10" t="s">
        <v>57</v>
      </c>
    </row>
    <row r="3" spans="1:16" x14ac:dyDescent="0.15">
      <c r="A3" t="s">
        <v>107</v>
      </c>
    </row>
    <row r="4" spans="1:16" x14ac:dyDescent="0.15">
      <c r="A4" t="s">
        <v>95</v>
      </c>
    </row>
    <row r="5" spans="1:16" x14ac:dyDescent="0.15">
      <c r="A5" t="s">
        <v>96</v>
      </c>
    </row>
    <row r="6" spans="1:16" x14ac:dyDescent="0.15">
      <c r="A6" t="s">
        <v>86</v>
      </c>
    </row>
    <row r="8" spans="1:16" x14ac:dyDescent="0.15">
      <c r="A8" s="45" t="s">
        <v>90</v>
      </c>
      <c r="B8" s="1"/>
      <c r="C8" s="1"/>
      <c r="D8" s="1"/>
      <c r="E8" s="1"/>
      <c r="F8" s="1"/>
      <c r="G8" s="1"/>
      <c r="H8" s="2"/>
    </row>
    <row r="9" spans="1:16" x14ac:dyDescent="0.15">
      <c r="B9" s="25" t="s">
        <v>29</v>
      </c>
      <c r="C9" s="25" t="s">
        <v>30</v>
      </c>
      <c r="D9" s="25" t="s">
        <v>30</v>
      </c>
      <c r="E9" s="25" t="s">
        <v>31</v>
      </c>
      <c r="F9" s="25" t="s">
        <v>31</v>
      </c>
      <c r="G9" s="25" t="s">
        <v>32</v>
      </c>
      <c r="H9" s="43" t="s">
        <v>33</v>
      </c>
    </row>
    <row r="10" spans="1:16" x14ac:dyDescent="0.15">
      <c r="A10" t="s">
        <v>0</v>
      </c>
      <c r="B10" s="25" t="s">
        <v>34</v>
      </c>
      <c r="C10" s="25" t="s">
        <v>35</v>
      </c>
      <c r="D10" s="25" t="s">
        <v>36</v>
      </c>
      <c r="E10" s="25" t="s">
        <v>35</v>
      </c>
      <c r="F10" s="25" t="s">
        <v>36</v>
      </c>
      <c r="G10" s="25" t="s">
        <v>37</v>
      </c>
      <c r="H10" s="43" t="s">
        <v>36</v>
      </c>
      <c r="L10" s="11"/>
    </row>
    <row r="11" spans="1:16" x14ac:dyDescent="0.15">
      <c r="A11" t="str">
        <f>'Periodic Table'!A4</f>
        <v>SiO2</v>
      </c>
      <c r="B11" s="86">
        <v>53.66</v>
      </c>
      <c r="C11" s="20">
        <f>'Periodic Table'!D4*B11/'Periodic Table'!B4</f>
        <v>0.89307855795940039</v>
      </c>
      <c r="D11" s="20">
        <f>'Periodic Table'!E4*B11/'Periodic Table'!B4</f>
        <v>1.7861571159188008</v>
      </c>
      <c r="E11" s="20">
        <f>IF(B$15&gt;0,H$25*C11/D$24,G$25*C11/C$24)</f>
        <v>2.4285010359741293</v>
      </c>
      <c r="F11" s="20">
        <f>E11*'Periodic Table'!E4/'Periodic Table'!D4</f>
        <v>4.8570020719482585</v>
      </c>
      <c r="G11" s="20">
        <f t="shared" ref="G11:H13" si="0">E11</f>
        <v>2.4285010359741293</v>
      </c>
      <c r="H11" s="44">
        <f>F11</f>
        <v>4.8570020719482585</v>
      </c>
    </row>
    <row r="12" spans="1:16" x14ac:dyDescent="0.15">
      <c r="A12" t="str">
        <f>'Periodic Table'!A5</f>
        <v>TiO2</v>
      </c>
      <c r="B12" s="87">
        <v>0</v>
      </c>
      <c r="C12" s="20">
        <f>'Periodic Table'!D5*B12/'Periodic Table'!B5</f>
        <v>0</v>
      </c>
      <c r="D12" s="20">
        <f>'Periodic Table'!E5*B12/'Periodic Table'!B5</f>
        <v>0</v>
      </c>
      <c r="E12" s="20">
        <f t="shared" ref="E12:E22" si="1">IF(B$15&gt;0,H$25*C12/D$24,G$25*C12/C$24)</f>
        <v>0</v>
      </c>
      <c r="F12" s="20">
        <f>E12*'Periodic Table'!E5/'Periodic Table'!D5</f>
        <v>0</v>
      </c>
      <c r="G12" s="20">
        <f t="shared" si="0"/>
        <v>0</v>
      </c>
      <c r="H12" s="44">
        <f t="shared" si="0"/>
        <v>0</v>
      </c>
    </row>
    <row r="13" spans="1:16" x14ac:dyDescent="0.15">
      <c r="A13" t="str">
        <f>'Periodic Table'!A6</f>
        <v>Al2O3</v>
      </c>
      <c r="B13" s="86">
        <v>27.91</v>
      </c>
      <c r="C13" s="20">
        <f>'Periodic Table'!D6*B13/'Periodic Table'!B6</f>
        <v>0.5474627231043</v>
      </c>
      <c r="D13" s="20">
        <f>'Periodic Table'!E6*B13/'Periodic Table'!B6</f>
        <v>0.82119408465645016</v>
      </c>
      <c r="E13" s="20">
        <f t="shared" si="1"/>
        <v>1.4886862733036867</v>
      </c>
      <c r="F13" s="20">
        <f>E13*'Periodic Table'!E6/'Periodic Table'!D6</f>
        <v>2.2330294099555301</v>
      </c>
      <c r="G13" s="20">
        <f t="shared" si="0"/>
        <v>1.4886862733036867</v>
      </c>
      <c r="H13" s="44">
        <f t="shared" si="0"/>
        <v>2.2330294099555301</v>
      </c>
    </row>
    <row r="14" spans="1:16" x14ac:dyDescent="0.15">
      <c r="A14" t="str">
        <f>'Periodic Table'!A8</f>
        <v>Cr2O3</v>
      </c>
      <c r="B14" s="87">
        <v>0</v>
      </c>
      <c r="C14" s="20">
        <f>'Periodic Table'!D8*B14/'Periodic Table'!B8</f>
        <v>0</v>
      </c>
      <c r="D14" s="20">
        <f>'Periodic Table'!E8*B14/'Periodic Table'!B8</f>
        <v>0</v>
      </c>
      <c r="E14" s="20">
        <f t="shared" si="1"/>
        <v>0</v>
      </c>
      <c r="F14" s="20">
        <f>E14*'Periodic Table'!E8/'Periodic Table'!D8</f>
        <v>0</v>
      </c>
      <c r="G14" s="20">
        <f>E14</f>
        <v>0</v>
      </c>
      <c r="H14" s="44">
        <f>F14</f>
        <v>0</v>
      </c>
    </row>
    <row r="15" spans="1:16" x14ac:dyDescent="0.15">
      <c r="A15" t="str">
        <f>'Periodic Table'!A7</f>
        <v>Fe2O3</v>
      </c>
      <c r="B15" s="85">
        <v>0</v>
      </c>
      <c r="C15" s="20">
        <f>IF(B15&gt;0,'Periodic Table'!D7*B15/'Periodic Table'!B7,0)</f>
        <v>0</v>
      </c>
      <c r="D15" s="20">
        <f>IF(B15&gt;0,'Periodic Table'!E7*B15/'Periodic Table'!B7,0)</f>
        <v>0</v>
      </c>
      <c r="E15" s="20">
        <f>IF(B$15&gt;0,H$25*C15/D$24,G$25*C15/C$24)</f>
        <v>0</v>
      </c>
      <c r="F15" s="20">
        <f>E15*'Periodic Table'!E7/'Periodic Table'!D7</f>
        <v>0</v>
      </c>
      <c r="G15" s="84">
        <f>IF(B15&gt;0,E15,IF(F24&lt;8,IF(2*(8-F24)&gt;E16,E16,8-F24),0))</f>
        <v>2.8007564092189661E-2</v>
      </c>
      <c r="H15" s="44">
        <f>'Periodic Table'!E7*G15/'Periodic Table'!D7</f>
        <v>4.2011346138284493E-2</v>
      </c>
      <c r="J15" s="83"/>
      <c r="K15" s="83"/>
      <c r="L15" s="83"/>
      <c r="M15" s="83"/>
      <c r="N15" s="83"/>
      <c r="O15" s="83"/>
      <c r="P15" s="83"/>
    </row>
    <row r="16" spans="1:16" x14ac:dyDescent="0.15">
      <c r="A16" t="str">
        <f>'Periodic Table'!A9</f>
        <v>FeO</v>
      </c>
      <c r="B16" s="86">
        <v>0.74</v>
      </c>
      <c r="C16" s="20">
        <f>'Periodic Table'!D9*B16/'Periodic Table'!B9</f>
        <v>1.0299750579013006E-2</v>
      </c>
      <c r="D16" s="20">
        <f>'Periodic Table'!E9*B16/'Periodic Table'!B9</f>
        <v>1.0299750579013006E-2</v>
      </c>
      <c r="E16" s="20">
        <f t="shared" si="1"/>
        <v>2.8007564092189661E-2</v>
      </c>
      <c r="F16" s="20">
        <f>E16*'Periodic Table'!E9/'Periodic Table'!D9</f>
        <v>2.8007564092189661E-2</v>
      </c>
      <c r="G16" s="20">
        <f>IF(B15&gt;0,E16,E16-G15)</f>
        <v>0</v>
      </c>
      <c r="H16" s="44">
        <f>'Periodic Table'!E9*G16/'Periodic Table'!D9</f>
        <v>0</v>
      </c>
      <c r="J16" s="83"/>
      <c r="K16" s="83"/>
      <c r="L16" s="83"/>
      <c r="M16" s="83"/>
      <c r="N16" s="83"/>
      <c r="O16" s="83"/>
      <c r="P16" s="83"/>
    </row>
    <row r="17" spans="1:13" x14ac:dyDescent="0.15">
      <c r="A17" t="str">
        <f>'Periodic Table'!A10</f>
        <v>MnO</v>
      </c>
      <c r="B17" s="87">
        <v>0</v>
      </c>
      <c r="C17" s="20">
        <f>'Periodic Table'!D10*B17/'Periodic Table'!B10</f>
        <v>0</v>
      </c>
      <c r="D17" s="20">
        <f>'Periodic Table'!E10*B17/'Periodic Table'!B10</f>
        <v>0</v>
      </c>
      <c r="E17" s="20">
        <f t="shared" si="1"/>
        <v>0</v>
      </c>
      <c r="F17" s="20">
        <f>E17*'Periodic Table'!E10/'Periodic Table'!D10</f>
        <v>0</v>
      </c>
      <c r="G17" s="20">
        <f t="shared" ref="G17:G22" si="2">IF(B16&gt;0,E17,E17-G16)</f>
        <v>0</v>
      </c>
      <c r="H17" s="44">
        <f t="shared" ref="H17:H22" si="3">F17</f>
        <v>0</v>
      </c>
    </row>
    <row r="18" spans="1:13" x14ac:dyDescent="0.15">
      <c r="A18" t="str">
        <f>'Periodic Table'!A11</f>
        <v>MgO</v>
      </c>
      <c r="B18" s="86">
        <v>0.64</v>
      </c>
      <c r="C18" s="20">
        <f>'Periodic Table'!D11*B18/'Periodic Table'!B11</f>
        <v>1.587915959547841E-2</v>
      </c>
      <c r="D18" s="20">
        <f>'Periodic Table'!E11*B18/'Periodic Table'!B11</f>
        <v>1.587915959547841E-2</v>
      </c>
      <c r="E18" s="20">
        <f t="shared" si="1"/>
        <v>4.3179354362878924E-2</v>
      </c>
      <c r="F18" s="20">
        <f>E18*'Periodic Table'!E11/'Periodic Table'!D11</f>
        <v>4.3179354362878924E-2</v>
      </c>
      <c r="G18" s="20">
        <f t="shared" si="2"/>
        <v>4.3179354362878924E-2</v>
      </c>
      <c r="H18" s="44">
        <f t="shared" si="3"/>
        <v>4.3179354362878924E-2</v>
      </c>
    </row>
    <row r="19" spans="1:13" x14ac:dyDescent="0.15">
      <c r="A19" t="str">
        <f>'Periodic Table'!A12</f>
        <v>CaO</v>
      </c>
      <c r="B19" s="86">
        <v>12.13</v>
      </c>
      <c r="C19" s="20">
        <f>'Periodic Table'!D12*B19/'Periodic Table'!B12</f>
        <v>0.21630045970534637</v>
      </c>
      <c r="D19" s="20">
        <f>'Periodic Table'!E12*B19/'Periodic Table'!B12</f>
        <v>0.21630045970534637</v>
      </c>
      <c r="E19" s="20">
        <f t="shared" si="1"/>
        <v>0.58817433897007043</v>
      </c>
      <c r="F19" s="20">
        <f>E19*'Periodic Table'!E12/'Periodic Table'!D12</f>
        <v>0.58817433897007043</v>
      </c>
      <c r="G19" s="20">
        <f t="shared" si="2"/>
        <v>0.58817433897007043</v>
      </c>
      <c r="H19" s="44">
        <f t="shared" si="3"/>
        <v>0.58817433897007043</v>
      </c>
    </row>
    <row r="20" spans="1:13" x14ac:dyDescent="0.15">
      <c r="A20" t="str">
        <f>'Periodic Table'!A13</f>
        <v>BaO</v>
      </c>
      <c r="B20" s="87">
        <v>0</v>
      </c>
      <c r="C20" s="20">
        <f>'Periodic Table'!D13*B20/'Periodic Table'!B13</f>
        <v>0</v>
      </c>
      <c r="D20" s="20">
        <f>'Periodic Table'!E13*B20/'Periodic Table'!B13</f>
        <v>0</v>
      </c>
      <c r="E20" s="20">
        <f t="shared" si="1"/>
        <v>0</v>
      </c>
      <c r="F20" s="20">
        <f>E20*'Periodic Table'!E13/'Periodic Table'!D13</f>
        <v>0</v>
      </c>
      <c r="G20" s="20">
        <f t="shared" si="2"/>
        <v>0</v>
      </c>
      <c r="H20" s="44">
        <f t="shared" si="3"/>
        <v>0</v>
      </c>
    </row>
    <row r="21" spans="1:13" x14ac:dyDescent="0.15">
      <c r="A21" t="str">
        <f>'Periodic Table'!A14</f>
        <v>Na2O</v>
      </c>
      <c r="B21" s="86">
        <v>4.76</v>
      </c>
      <c r="C21" s="20">
        <f>'Periodic Table'!D14*B21/'Periodic Table'!B14</f>
        <v>0.1536005617391972</v>
      </c>
      <c r="D21" s="20">
        <f>'Periodic Table'!E14*B21/'Periodic Table'!B14</f>
        <v>7.68002808695986E-2</v>
      </c>
      <c r="E21" s="20">
        <f t="shared" si="1"/>
        <v>0.41767784030350236</v>
      </c>
      <c r="F21" s="20">
        <f>E21*'Periodic Table'!E14/'Periodic Table'!D14</f>
        <v>0.20883892015175118</v>
      </c>
      <c r="G21" s="20">
        <f t="shared" si="2"/>
        <v>0.41767784030350236</v>
      </c>
      <c r="H21" s="44">
        <f t="shared" si="3"/>
        <v>0.20883892015175118</v>
      </c>
      <c r="M21" s="20"/>
    </row>
    <row r="22" spans="1:13" x14ac:dyDescent="0.15">
      <c r="A22" t="str">
        <f>'Periodic Table'!A15</f>
        <v>K2O</v>
      </c>
      <c r="B22" s="86">
        <v>0.1</v>
      </c>
      <c r="C22" s="20">
        <f>'Periodic Table'!D15*B22/'Periodic Table'!B15</f>
        <v>2.1232324090194915E-3</v>
      </c>
      <c r="D22" s="20">
        <f>'Periodic Table'!E15*B22/'Periodic Table'!B15</f>
        <v>1.0616162045097458E-3</v>
      </c>
      <c r="E22" s="20">
        <f t="shared" si="1"/>
        <v>5.7735929935427777E-3</v>
      </c>
      <c r="F22" s="20">
        <f>E22*'Periodic Table'!E15/'Periodic Table'!D15</f>
        <v>2.8867964967713888E-3</v>
      </c>
      <c r="G22" s="20">
        <f t="shared" si="2"/>
        <v>5.7735929935427777E-3</v>
      </c>
      <c r="H22" s="44">
        <f t="shared" si="3"/>
        <v>2.8867964967713888E-3</v>
      </c>
    </row>
    <row r="23" spans="1:13" x14ac:dyDescent="0.15">
      <c r="B23" s="19"/>
      <c r="C23" s="20"/>
      <c r="D23" s="20"/>
      <c r="E23" s="20"/>
      <c r="F23" s="20"/>
      <c r="G23" s="20"/>
      <c r="H23" s="44"/>
    </row>
    <row r="24" spans="1:13" x14ac:dyDescent="0.15">
      <c r="A24" t="s">
        <v>38</v>
      </c>
      <c r="B24" s="19">
        <f t="shared" ref="B24:H24" si="4">SUM(B11:B22)</f>
        <v>99.939999999999984</v>
      </c>
      <c r="C24" s="20">
        <f t="shared" si="4"/>
        <v>1.8387444450917547</v>
      </c>
      <c r="D24" s="20">
        <f t="shared" si="4"/>
        <v>2.9276924675291971</v>
      </c>
      <c r="E24" s="20">
        <f t="shared" si="4"/>
        <v>5</v>
      </c>
      <c r="F24" s="20">
        <f t="shared" si="4"/>
        <v>7.9611184559774504</v>
      </c>
      <c r="G24" s="20">
        <f t="shared" si="4"/>
        <v>5</v>
      </c>
      <c r="H24" s="44">
        <f t="shared" si="4"/>
        <v>7.9751222380235456</v>
      </c>
    </row>
    <row r="25" spans="1:13" x14ac:dyDescent="0.15">
      <c r="A25" t="s">
        <v>72</v>
      </c>
      <c r="B25" s="19"/>
      <c r="C25" s="20"/>
      <c r="D25" s="20"/>
      <c r="E25" s="20"/>
      <c r="F25" s="20"/>
      <c r="G25" s="20">
        <v>5</v>
      </c>
      <c r="H25" s="44">
        <v>8</v>
      </c>
      <c r="M25" s="20"/>
    </row>
    <row r="26" spans="1:13" x14ac:dyDescent="0.15">
      <c r="B26" s="19"/>
      <c r="C26" s="20"/>
      <c r="D26" s="20"/>
      <c r="E26" s="56" t="str">
        <f>IF(G27&lt;15.95,"Note: insufficient cation charge",IF(G27&gt;16.05,"Note: too much cation charge"," "))</f>
        <v xml:space="preserve"> </v>
      </c>
      <c r="F26" s="20"/>
      <c r="G26" s="20"/>
      <c r="H26" s="44"/>
    </row>
    <row r="27" spans="1:13" x14ac:dyDescent="0.15">
      <c r="A27" s="7" t="s">
        <v>101</v>
      </c>
      <c r="B27" s="7"/>
      <c r="C27" s="42">
        <f>4*(C11+C12)+3*(C13+C15+C14)+2*(C16+C17+C18+C19+C20)+C21+C22</f>
        <v>5.8553849350583942</v>
      </c>
      <c r="D27" s="42">
        <f>2*SUM(D11:D22)*(-1)</f>
        <v>-5.8553849350583942</v>
      </c>
      <c r="E27" s="17">
        <f>4*(E11+E12)+3*(E13+E15+E14)+2*(E16+E17+E18+E19+E20)+E21+E22</f>
        <v>15.922236911954901</v>
      </c>
      <c r="F27" s="42">
        <f>2*SUM(F11:F22)*(-1)</f>
        <v>-15.922236911954901</v>
      </c>
      <c r="G27" s="42">
        <f>4*(G11+G12)+3*(G13+G15+G14)+2*(G16+G17+G18+G19+G20)+G21+G22</f>
        <v>15.950244476047091</v>
      </c>
      <c r="H27" s="58">
        <f>2*SUM(H11:H22)*(-1)</f>
        <v>-15.950244476047091</v>
      </c>
    </row>
    <row r="29" spans="1:13" x14ac:dyDescent="0.15">
      <c r="A29" t="s">
        <v>39</v>
      </c>
    </row>
    <row r="30" spans="1:13" x14ac:dyDescent="0.15">
      <c r="A30" t="s">
        <v>63</v>
      </c>
    </row>
    <row r="32" spans="1:13" x14ac:dyDescent="0.15">
      <c r="A32" s="9" t="s">
        <v>40</v>
      </c>
      <c r="B32" s="1"/>
      <c r="C32" s="1"/>
      <c r="D32" s="1"/>
      <c r="E32" s="1"/>
      <c r="F32" s="1"/>
      <c r="G32" s="1"/>
      <c r="H32" s="2"/>
    </row>
    <row r="33" spans="1:10" x14ac:dyDescent="0.15">
      <c r="A33" s="3"/>
      <c r="B33" s="4"/>
      <c r="C33" s="4"/>
      <c r="D33" s="4"/>
      <c r="E33" s="4"/>
      <c r="F33" s="4"/>
      <c r="G33" s="12" t="s">
        <v>41</v>
      </c>
      <c r="H33" s="13" t="s">
        <v>30</v>
      </c>
    </row>
    <row r="34" spans="1:10" x14ac:dyDescent="0.15">
      <c r="A34" s="6" t="s">
        <v>0</v>
      </c>
      <c r="B34" s="22" t="s">
        <v>34</v>
      </c>
      <c r="C34" s="4"/>
      <c r="D34" s="14" t="s">
        <v>35</v>
      </c>
      <c r="E34" s="14" t="s">
        <v>42</v>
      </c>
      <c r="F34" s="4"/>
      <c r="G34" s="14" t="s">
        <v>43</v>
      </c>
      <c r="H34" s="15" t="s">
        <v>44</v>
      </c>
    </row>
    <row r="35" spans="1:10" x14ac:dyDescent="0.15">
      <c r="A35" t="str">
        <f>'Periodic Table'!A4</f>
        <v>SiO2</v>
      </c>
      <c r="B35" s="16">
        <f>B11</f>
        <v>53.66</v>
      </c>
      <c r="C35" s="4"/>
      <c r="D35" s="12" t="str">
        <f>'Periodic Table'!C4</f>
        <v>Si</v>
      </c>
      <c r="E35" s="23">
        <f>G11</f>
        <v>2.4285010359741293</v>
      </c>
      <c r="F35" s="4"/>
      <c r="G35" s="12" t="s">
        <v>58</v>
      </c>
      <c r="H35" s="13">
        <f>E43/(E43+E45+E46)*100</f>
        <v>58.141494127016514</v>
      </c>
    </row>
    <row r="36" spans="1:10" x14ac:dyDescent="0.15">
      <c r="A36" t="str">
        <f>'Periodic Table'!A5</f>
        <v>TiO2</v>
      </c>
      <c r="B36" s="16">
        <f>B12</f>
        <v>0</v>
      </c>
      <c r="C36" s="4"/>
      <c r="D36" s="12" t="str">
        <f>'Periodic Table'!C5</f>
        <v>Ti</v>
      </c>
      <c r="E36" s="23">
        <f>G12</f>
        <v>0</v>
      </c>
      <c r="F36" s="4"/>
      <c r="G36" s="12" t="s">
        <v>59</v>
      </c>
      <c r="H36" s="13">
        <f>E45/(E43+E45+E46)*100</f>
        <v>41.287781683088262</v>
      </c>
    </row>
    <row r="37" spans="1:10" x14ac:dyDescent="0.15">
      <c r="A37" t="str">
        <f>'Periodic Table'!A6</f>
        <v>Al2O3</v>
      </c>
      <c r="B37" s="16">
        <f>B13</f>
        <v>27.91</v>
      </c>
      <c r="C37" s="4"/>
      <c r="D37" s="12" t="str">
        <f>'Periodic Table'!C6</f>
        <v>Al</v>
      </c>
      <c r="E37" s="23">
        <f>G13</f>
        <v>1.4886862733036867</v>
      </c>
      <c r="F37" s="4"/>
      <c r="G37" s="12" t="s">
        <v>60</v>
      </c>
      <c r="H37" s="13">
        <f>E46/(E43+E45+E46)*100</f>
        <v>0.57072418989522189</v>
      </c>
      <c r="J37" s="20"/>
    </row>
    <row r="38" spans="1:10" x14ac:dyDescent="0.15">
      <c r="A38" t="str">
        <f>'Periodic Table'!A8</f>
        <v>Cr2O3</v>
      </c>
      <c r="B38" s="16">
        <f>B14</f>
        <v>0</v>
      </c>
      <c r="C38" s="4"/>
      <c r="D38" s="12" t="str">
        <f>'Periodic Table'!C8</f>
        <v>Cr</v>
      </c>
      <c r="E38" s="23">
        <f>G14</f>
        <v>0</v>
      </c>
      <c r="F38" s="4"/>
      <c r="G38" s="4"/>
      <c r="H38" s="5"/>
    </row>
    <row r="39" spans="1:10" x14ac:dyDescent="0.15">
      <c r="A39" t="str">
        <f>'Periodic Table'!A7</f>
        <v>Fe2O3</v>
      </c>
      <c r="B39" s="19">
        <f>IF(B15&gt;0,B15,('Periodic Table'!B8/(2*'Periodic Table'!B10))*B16*G15/(G15+G16))</f>
        <v>0.79276057481666939</v>
      </c>
      <c r="C39" s="4"/>
      <c r="D39" s="12" t="str">
        <f>'Periodic Table'!C7</f>
        <v>Fe3</v>
      </c>
      <c r="E39" s="23">
        <f>G15</f>
        <v>2.8007564092189661E-2</v>
      </c>
      <c r="F39" s="4"/>
      <c r="G39" s="47" t="s">
        <v>97</v>
      </c>
      <c r="H39" s="5"/>
    </row>
    <row r="40" spans="1:10" x14ac:dyDescent="0.15">
      <c r="A40" t="str">
        <f>'Periodic Table'!A9</f>
        <v>FeO</v>
      </c>
      <c r="B40" s="19">
        <f>IF(B15&gt;0,B16,B16*G16/(G16+G15))</f>
        <v>0</v>
      </c>
      <c r="C40" s="4"/>
      <c r="D40" s="12" t="str">
        <f>'Periodic Table'!C9</f>
        <v>Fe2</v>
      </c>
      <c r="E40" s="23">
        <f t="shared" ref="E40:E46" si="5">G16</f>
        <v>0</v>
      </c>
      <c r="F40" s="4"/>
      <c r="G40" s="47" t="s">
        <v>98</v>
      </c>
      <c r="H40" s="5"/>
    </row>
    <row r="41" spans="1:10" x14ac:dyDescent="0.15">
      <c r="A41" t="str">
        <f>'Periodic Table'!A10</f>
        <v>MnO</v>
      </c>
      <c r="B41" s="16">
        <f t="shared" ref="B41:B46" si="6">B17</f>
        <v>0</v>
      </c>
      <c r="C41" s="4"/>
      <c r="D41" s="12" t="str">
        <f>'Periodic Table'!C10</f>
        <v>Mn</v>
      </c>
      <c r="E41" s="23">
        <f t="shared" si="5"/>
        <v>0</v>
      </c>
      <c r="F41" s="4"/>
      <c r="G41" s="4"/>
      <c r="H41" s="5"/>
    </row>
    <row r="42" spans="1:10" x14ac:dyDescent="0.15">
      <c r="A42" t="str">
        <f>'Periodic Table'!A11</f>
        <v>MgO</v>
      </c>
      <c r="B42" s="16">
        <f t="shared" si="6"/>
        <v>0.64</v>
      </c>
      <c r="C42" s="4"/>
      <c r="D42" s="12" t="str">
        <f>'Periodic Table'!C11</f>
        <v>Mg</v>
      </c>
      <c r="E42" s="23">
        <f t="shared" si="5"/>
        <v>4.3179354362878924E-2</v>
      </c>
      <c r="F42" s="4"/>
      <c r="G42" s="72" t="s">
        <v>108</v>
      </c>
      <c r="H42" s="73">
        <f>E35+E37+E39</f>
        <v>3.9451948733700055</v>
      </c>
    </row>
    <row r="43" spans="1:10" x14ac:dyDescent="0.15">
      <c r="A43" t="str">
        <f>'Periodic Table'!A12</f>
        <v>CaO</v>
      </c>
      <c r="B43" s="16">
        <f t="shared" si="6"/>
        <v>12.13</v>
      </c>
      <c r="C43" s="4"/>
      <c r="D43" s="12" t="str">
        <f>'Periodic Table'!C12</f>
        <v>Ca</v>
      </c>
      <c r="E43" s="23">
        <f t="shared" si="5"/>
        <v>0.58817433897007043</v>
      </c>
      <c r="F43" s="4"/>
      <c r="G43" s="74" t="s">
        <v>99</v>
      </c>
      <c r="H43" s="73">
        <v>4</v>
      </c>
    </row>
    <row r="44" spans="1:10" x14ac:dyDescent="0.15">
      <c r="A44" t="str">
        <f>'Periodic Table'!A13</f>
        <v>BaO</v>
      </c>
      <c r="B44" s="16">
        <f t="shared" si="6"/>
        <v>0</v>
      </c>
      <c r="C44" s="4"/>
      <c r="D44" s="12" t="str">
        <f>'Periodic Table'!C13</f>
        <v>Ba</v>
      </c>
      <c r="E44" s="23">
        <f t="shared" si="5"/>
        <v>0</v>
      </c>
      <c r="F44" s="4"/>
      <c r="G44" s="72"/>
      <c r="H44" s="73"/>
    </row>
    <row r="45" spans="1:10" x14ac:dyDescent="0.15">
      <c r="A45" t="str">
        <f>'Periodic Table'!A14</f>
        <v>Na2O</v>
      </c>
      <c r="B45" s="16">
        <f t="shared" si="6"/>
        <v>4.76</v>
      </c>
      <c r="C45" s="4"/>
      <c r="D45" s="12" t="str">
        <f>'Periodic Table'!C14</f>
        <v>Na</v>
      </c>
      <c r="E45" s="23">
        <f t="shared" si="5"/>
        <v>0.41767784030350236</v>
      </c>
      <c r="F45" s="4"/>
      <c r="G45" s="74" t="s">
        <v>100</v>
      </c>
      <c r="H45" s="73">
        <f>E43+E45+E46</f>
        <v>1.0116257722671156</v>
      </c>
    </row>
    <row r="46" spans="1:10" x14ac:dyDescent="0.15">
      <c r="A46" t="str">
        <f>'Periodic Table'!A15</f>
        <v>K2O</v>
      </c>
      <c r="B46" s="16">
        <f t="shared" si="6"/>
        <v>0.1</v>
      </c>
      <c r="C46" s="4"/>
      <c r="D46" s="12" t="str">
        <f>'Periodic Table'!C15</f>
        <v>K</v>
      </c>
      <c r="E46" s="23">
        <f t="shared" si="5"/>
        <v>5.7735929935427777E-3</v>
      </c>
      <c r="F46" s="4"/>
      <c r="G46" s="74" t="s">
        <v>99</v>
      </c>
      <c r="H46" s="73">
        <v>1</v>
      </c>
    </row>
    <row r="47" spans="1:10" x14ac:dyDescent="0.15">
      <c r="B47" s="16"/>
      <c r="C47" s="4"/>
      <c r="D47" s="12" t="s">
        <v>45</v>
      </c>
      <c r="E47" s="23">
        <f>G24</f>
        <v>5</v>
      </c>
      <c r="F47" s="71" t="str">
        <f>IF(SUM(E35:E39)&gt;4.05,"Note: excess tetrahedral cations",IF(SUM(E35:E39)&lt;3.95,"Note: difficiency of tetrahedral cations"," "))</f>
        <v>Note: difficiency of tetrahedral cations</v>
      </c>
      <c r="G47" s="4"/>
      <c r="H47" s="5"/>
    </row>
    <row r="48" spans="1:10" x14ac:dyDescent="0.15">
      <c r="A48" s="6" t="s">
        <v>38</v>
      </c>
      <c r="B48" s="17">
        <f>SUM(B35:B46)</f>
        <v>99.992760574816657</v>
      </c>
      <c r="C48" s="7"/>
      <c r="D48" s="14" t="s">
        <v>46</v>
      </c>
      <c r="E48" s="24">
        <f>H24</f>
        <v>7.9751222380235456</v>
      </c>
      <c r="F48" s="7"/>
      <c r="G48" s="7"/>
      <c r="H48" s="8"/>
    </row>
  </sheetData>
  <phoneticPr fontId="2" type="noConversion"/>
  <pageMargins left="0.75" right="0.75" top="1" bottom="1" header="0.5" footer="0.5"/>
  <pageSetup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B669-FED7-B446-B657-F5A82F1E44DB}">
  <dimension ref="A1:J69"/>
  <sheetViews>
    <sheetView topLeftCell="A9" workbookViewId="0">
      <selection activeCell="G15" sqref="G15"/>
    </sheetView>
  </sheetViews>
  <sheetFormatPr baseColWidth="10" defaultColWidth="8.83203125" defaultRowHeight="13" x14ac:dyDescent="0.15"/>
  <sheetData>
    <row r="1" spans="1:10" x14ac:dyDescent="0.15">
      <c r="A1" s="10" t="s">
        <v>27</v>
      </c>
    </row>
    <row r="3" spans="1:10" x14ac:dyDescent="0.15">
      <c r="A3" t="s">
        <v>28</v>
      </c>
    </row>
    <row r="4" spans="1:10" x14ac:dyDescent="0.15">
      <c r="A4" t="s">
        <v>95</v>
      </c>
    </row>
    <row r="5" spans="1:10" x14ac:dyDescent="0.15">
      <c r="A5" t="s">
        <v>131</v>
      </c>
    </row>
    <row r="6" spans="1:10" x14ac:dyDescent="0.15">
      <c r="A6" t="s">
        <v>86</v>
      </c>
    </row>
    <row r="8" spans="1:10" x14ac:dyDescent="0.15">
      <c r="A8" s="45" t="s">
        <v>90</v>
      </c>
      <c r="B8" s="1"/>
      <c r="C8" s="1"/>
      <c r="D8" s="1"/>
      <c r="E8" s="1"/>
      <c r="F8" s="1"/>
      <c r="G8" s="1"/>
      <c r="H8" s="2"/>
    </row>
    <row r="9" spans="1:10" x14ac:dyDescent="0.15">
      <c r="A9" s="3"/>
      <c r="B9" s="46" t="s">
        <v>29</v>
      </c>
      <c r="C9" s="46" t="s">
        <v>30</v>
      </c>
      <c r="D9" s="46" t="s">
        <v>30</v>
      </c>
      <c r="E9" s="46" t="s">
        <v>31</v>
      </c>
      <c r="F9" s="46" t="s">
        <v>31</v>
      </c>
      <c r="G9" s="46" t="s">
        <v>32</v>
      </c>
      <c r="H9" s="43" t="s">
        <v>33</v>
      </c>
    </row>
    <row r="10" spans="1:10" x14ac:dyDescent="0.15">
      <c r="A10" s="3" t="s">
        <v>0</v>
      </c>
      <c r="B10" s="25" t="s">
        <v>34</v>
      </c>
      <c r="C10" s="25" t="s">
        <v>35</v>
      </c>
      <c r="D10" s="25" t="s">
        <v>36</v>
      </c>
      <c r="E10" s="25" t="s">
        <v>35</v>
      </c>
      <c r="F10" s="25" t="s">
        <v>36</v>
      </c>
      <c r="G10" s="25" t="s">
        <v>37</v>
      </c>
      <c r="H10" s="43" t="s">
        <v>36</v>
      </c>
      <c r="J10" s="54"/>
    </row>
    <row r="11" spans="1:10" x14ac:dyDescent="0.15">
      <c r="A11" s="3" t="str">
        <f>'Periodic Table'!A4</f>
        <v>SiO2</v>
      </c>
      <c r="B11" s="81">
        <v>63.33841605854515</v>
      </c>
      <c r="C11" s="20">
        <f>'Periodic Table'!D4*B11/'Periodic Table'!B4</f>
        <v>1.054159174002945</v>
      </c>
      <c r="D11" s="20">
        <f>'Periodic Table'!E4*B11/'Periodic Table'!B4</f>
        <v>2.10831834800589</v>
      </c>
      <c r="E11" s="20">
        <f t="shared" ref="E11:E20" si="0">IF(B$15&gt;0,H$23*C11/D$22,G$23*C11/C$22)</f>
        <v>2.3377352998364471</v>
      </c>
      <c r="F11" s="20">
        <f>E11*'Periodic Table'!E4/'Periodic Table'!D4</f>
        <v>4.6754705996728942</v>
      </c>
      <c r="G11" s="20">
        <f t="shared" ref="G11:H13" si="1">E11</f>
        <v>2.3377352998364471</v>
      </c>
      <c r="H11" s="44">
        <f t="shared" si="1"/>
        <v>4.6754705996728942</v>
      </c>
      <c r="I11" s="20"/>
    </row>
    <row r="12" spans="1:10" x14ac:dyDescent="0.15">
      <c r="A12" s="3" t="str">
        <f>'Periodic Table'!A5</f>
        <v>TiO2</v>
      </c>
      <c r="B12" s="81">
        <v>0</v>
      </c>
      <c r="C12" s="20">
        <f>'Periodic Table'!D5*B12/'Periodic Table'!B5</f>
        <v>0</v>
      </c>
      <c r="D12" s="20">
        <f>'Periodic Table'!E5*B12/'Periodic Table'!B5</f>
        <v>0</v>
      </c>
      <c r="E12" s="20">
        <f t="shared" si="0"/>
        <v>0</v>
      </c>
      <c r="F12" s="20">
        <f>E12*'Periodic Table'!E5/'Periodic Table'!D5</f>
        <v>0</v>
      </c>
      <c r="G12" s="20">
        <f t="shared" si="1"/>
        <v>0</v>
      </c>
      <c r="H12" s="44">
        <f t="shared" si="1"/>
        <v>0</v>
      </c>
      <c r="I12" s="20"/>
    </row>
    <row r="13" spans="1:10" x14ac:dyDescent="0.15">
      <c r="A13" s="3" t="str">
        <f>'Periodic Table'!A6</f>
        <v>Al2O3</v>
      </c>
      <c r="B13" s="81">
        <v>3.2307943470702125</v>
      </c>
      <c r="C13" s="20">
        <f>'Periodic Table'!D6*B13/'Periodic Table'!B6</f>
        <v>6.3372965640882753E-2</v>
      </c>
      <c r="D13" s="20">
        <f>'Periodic Table'!E6*B13/'Periodic Table'!B6</f>
        <v>9.5059448461324136E-2</v>
      </c>
      <c r="E13" s="20">
        <f t="shared" si="0"/>
        <v>0.14053780727577295</v>
      </c>
      <c r="F13" s="20">
        <f>E13*'Periodic Table'!E6/'Periodic Table'!D6</f>
        <v>0.21080671091365943</v>
      </c>
      <c r="G13" s="20">
        <f t="shared" si="1"/>
        <v>0.14053780727577295</v>
      </c>
      <c r="H13" s="44">
        <f t="shared" si="1"/>
        <v>0.21080671091365943</v>
      </c>
      <c r="I13" s="20"/>
    </row>
    <row r="14" spans="1:10" x14ac:dyDescent="0.15">
      <c r="A14" s="3" t="str">
        <f>'Periodic Table'!A8</f>
        <v>Cr2O3</v>
      </c>
      <c r="B14" s="81"/>
      <c r="C14" s="20">
        <f>'Periodic Table'!D8*B14/'Periodic Table'!B8</f>
        <v>0</v>
      </c>
      <c r="D14" s="20">
        <f>'Periodic Table'!E8*B14/'Periodic Table'!B8</f>
        <v>0</v>
      </c>
      <c r="E14" s="20">
        <f t="shared" si="0"/>
        <v>0</v>
      </c>
      <c r="F14" s="20">
        <f>E14*'Periodic Table'!E8/'Periodic Table'!D8</f>
        <v>0</v>
      </c>
      <c r="G14" s="20">
        <f>E14</f>
        <v>0</v>
      </c>
      <c r="H14" s="44">
        <f>F14</f>
        <v>0</v>
      </c>
      <c r="I14" s="20"/>
    </row>
    <row r="15" spans="1:10" x14ac:dyDescent="0.15">
      <c r="A15" s="3" t="str">
        <f>'Periodic Table'!A7</f>
        <v>Fe2O3</v>
      </c>
      <c r="B15" s="81"/>
      <c r="C15" s="20">
        <f>IF(B15&gt;0,'Periodic Table'!D7*B15/'Periodic Table'!B7,0)</f>
        <v>0</v>
      </c>
      <c r="D15" s="20">
        <f>IF(B15&gt;0,'Periodic Table'!E7*B15/'Periodic Table'!B7,0)</f>
        <v>0</v>
      </c>
      <c r="E15" s="20">
        <f t="shared" si="0"/>
        <v>0</v>
      </c>
      <c r="F15" s="20">
        <f>E15*'Periodic Table'!E7/'Periodic Table'!D7</f>
        <v>0</v>
      </c>
      <c r="G15" s="20">
        <f>IF(B15&gt;0,E15,IF((2*H23)-E25&gt;0,(2*H23)-E25,0))</f>
        <v>0</v>
      </c>
      <c r="H15" s="44">
        <f>'Periodic Table'!E7*G15/'Periodic Table'!D7</f>
        <v>0</v>
      </c>
      <c r="I15" s="20"/>
    </row>
    <row r="16" spans="1:10" x14ac:dyDescent="0.15">
      <c r="A16" s="3" t="str">
        <f>'Periodic Table'!A9</f>
        <v>FeO</v>
      </c>
      <c r="B16" s="81">
        <v>12.339280017832534</v>
      </c>
      <c r="C16" s="20">
        <f>'Periodic Table'!D9*B16/'Periodic Table'!B9</f>
        <v>0.17174527906523546</v>
      </c>
      <c r="D16" s="20">
        <f>'Periodic Table'!E9*B16/'Periodic Table'!B9</f>
        <v>0.17174527906523546</v>
      </c>
      <c r="E16" s="20">
        <f t="shared" si="0"/>
        <v>0.38086753058977868</v>
      </c>
      <c r="F16" s="20">
        <f>E16*'Periodic Table'!E9/'Periodic Table'!D9</f>
        <v>0.38086753058977868</v>
      </c>
      <c r="G16" s="20">
        <f>IF(B15&gt;0,E16,E16-G15)</f>
        <v>0.38086753058977868</v>
      </c>
      <c r="H16" s="44">
        <f>'Periodic Table'!E9*G16/'Periodic Table'!D9</f>
        <v>0.38086753058977868</v>
      </c>
      <c r="I16" s="20"/>
    </row>
    <row r="17" spans="1:10" x14ac:dyDescent="0.15">
      <c r="A17" s="3" t="str">
        <f>'Periodic Table'!A10</f>
        <v>MnO</v>
      </c>
      <c r="B17" s="81"/>
      <c r="C17" s="20">
        <f>'Periodic Table'!D10*B17/'Periodic Table'!B10</f>
        <v>0</v>
      </c>
      <c r="D17" s="20">
        <f>'Periodic Table'!E10*B17/'Periodic Table'!B10</f>
        <v>0</v>
      </c>
      <c r="E17" s="20">
        <f t="shared" si="0"/>
        <v>0</v>
      </c>
      <c r="F17" s="20">
        <f>E17*'Periodic Table'!E10/'Periodic Table'!D10</f>
        <v>0</v>
      </c>
      <c r="G17" s="20">
        <f t="shared" ref="G17:H19" si="2">E17</f>
        <v>0</v>
      </c>
      <c r="H17" s="44">
        <f t="shared" si="2"/>
        <v>0</v>
      </c>
      <c r="I17" s="20"/>
    </row>
    <row r="18" spans="1:10" x14ac:dyDescent="0.15">
      <c r="A18" s="3" t="str">
        <f>'Periodic Table'!A11</f>
        <v>MgO</v>
      </c>
      <c r="B18" s="81">
        <v>19.822672942690438</v>
      </c>
      <c r="C18" s="20">
        <f>'Periodic Table'!D11*B18/'Periodic Table'!B11</f>
        <v>0.49182404260305174</v>
      </c>
      <c r="D18" s="20">
        <f>'Periodic Table'!E11*B18/'Periodic Table'!B11</f>
        <v>0.49182404260305174</v>
      </c>
      <c r="E18" s="20">
        <f t="shared" si="0"/>
        <v>1.0906838872686284</v>
      </c>
      <c r="F18" s="20">
        <f>E18*'Periodic Table'!E11/'Periodic Table'!D11</f>
        <v>1.0906838872686284</v>
      </c>
      <c r="G18" s="20">
        <f t="shared" si="2"/>
        <v>1.0906838872686284</v>
      </c>
      <c r="H18" s="44">
        <f t="shared" si="2"/>
        <v>1.0906838872686284</v>
      </c>
      <c r="I18" s="20"/>
    </row>
    <row r="19" spans="1:10" x14ac:dyDescent="0.15">
      <c r="A19" s="3" t="str">
        <f>'Periodic Table'!A12</f>
        <v>CaO</v>
      </c>
      <c r="B19" s="81">
        <v>1.2688366338616637</v>
      </c>
      <c r="C19" s="20">
        <f>'Periodic Table'!D12*B19/'Periodic Table'!B12</f>
        <v>2.2625716998785003E-2</v>
      </c>
      <c r="D19" s="20">
        <f>'Periodic Table'!E12*B19/'Periodic Table'!B12</f>
        <v>2.2625716998785003E-2</v>
      </c>
      <c r="E19" s="20">
        <f t="shared" si="0"/>
        <v>5.0175475029373022E-2</v>
      </c>
      <c r="F19" s="20">
        <f>E19*'Periodic Table'!E12/'Periodic Table'!D12</f>
        <v>5.0175475029373022E-2</v>
      </c>
      <c r="G19" s="20">
        <f t="shared" si="2"/>
        <v>5.0175475029373022E-2</v>
      </c>
      <c r="H19" s="44">
        <f t="shared" si="2"/>
        <v>5.0175475029373022E-2</v>
      </c>
      <c r="I19" s="20"/>
    </row>
    <row r="20" spans="1:10" x14ac:dyDescent="0.15">
      <c r="A20" s="3" t="str">
        <f>'Periodic Table'!A14</f>
        <v>Na2O</v>
      </c>
      <c r="B20" s="81"/>
      <c r="C20" s="20">
        <f>'Periodic Table'!D14*B20/'Periodic Table'!B14</f>
        <v>0</v>
      </c>
      <c r="D20" s="20">
        <f>'Periodic Table'!E14*B20/'Periodic Table'!B14</f>
        <v>0</v>
      </c>
      <c r="E20" s="20">
        <f t="shared" si="0"/>
        <v>0</v>
      </c>
      <c r="F20" s="20">
        <f>E20*'Periodic Table'!E14/'Periodic Table'!D14</f>
        <v>0</v>
      </c>
      <c r="G20" s="20">
        <f>E20</f>
        <v>0</v>
      </c>
      <c r="H20" s="44">
        <f>F20</f>
        <v>0</v>
      </c>
    </row>
    <row r="21" spans="1:10" x14ac:dyDescent="0.15">
      <c r="A21" s="3"/>
      <c r="B21" s="81">
        <v>0</v>
      </c>
      <c r="H21" s="5"/>
    </row>
    <row r="22" spans="1:10" x14ac:dyDescent="0.15">
      <c r="A22" s="3" t="s">
        <v>38</v>
      </c>
      <c r="B22" s="81">
        <v>0</v>
      </c>
      <c r="C22" s="20">
        <f t="shared" ref="C22:H22" si="3">SUM(C11:C20)</f>
        <v>1.8037271783108999</v>
      </c>
      <c r="D22" s="20">
        <f t="shared" si="3"/>
        <v>2.889572835134286</v>
      </c>
      <c r="E22" s="20">
        <f t="shared" si="3"/>
        <v>4</v>
      </c>
      <c r="F22" s="20">
        <f t="shared" si="3"/>
        <v>6.4080042034743334</v>
      </c>
      <c r="G22" s="20">
        <f t="shared" si="3"/>
        <v>4</v>
      </c>
      <c r="H22" s="44">
        <f t="shared" si="3"/>
        <v>6.4080042034743334</v>
      </c>
      <c r="J22" s="19"/>
    </row>
    <row r="23" spans="1:10" x14ac:dyDescent="0.15">
      <c r="A23" s="3" t="s">
        <v>72</v>
      </c>
      <c r="G23" s="20">
        <v>4</v>
      </c>
      <c r="H23" s="44">
        <v>6</v>
      </c>
    </row>
    <row r="24" spans="1:10" x14ac:dyDescent="0.15">
      <c r="A24" s="3"/>
      <c r="E24" s="56" t="str">
        <f>IF(G25&lt;11.95,"Note: insufficient cation charge",IF(G25&gt;12.05,"Note: too much cation charge"," "))</f>
        <v>Note: too much cation charge</v>
      </c>
      <c r="G24" s="20"/>
      <c r="H24" s="44"/>
    </row>
    <row r="25" spans="1:10" x14ac:dyDescent="0.15">
      <c r="A25" s="6" t="s">
        <v>101</v>
      </c>
      <c r="B25" s="7"/>
      <c r="C25" s="42">
        <f>4*(C11+C12)+3*(C13+C15+C14)+2*(C16+C17+C18+C19)+C20</f>
        <v>5.7791456702685728</v>
      </c>
      <c r="D25" s="42">
        <f>2*SUM(D11:D20)*(-1)</f>
        <v>-5.779145670268572</v>
      </c>
      <c r="E25" s="42">
        <f>4*(E11+E12)+3*(E13+E15+E14)+2*(E16+E17+E18+E19)+E20</f>
        <v>12.816008406948667</v>
      </c>
      <c r="F25" s="42">
        <f>2*SUM(F11:F20)*(-1)</f>
        <v>-12.816008406948667</v>
      </c>
      <c r="G25" s="42">
        <f>4*(G11+G12)+3*(G13+G15+G14)+2*(G16+G17+G18+G19)+G20</f>
        <v>12.816008406948667</v>
      </c>
      <c r="H25" s="58">
        <f>2*SUM(H11:H20)*(-1)</f>
        <v>-12.816008406948667</v>
      </c>
    </row>
    <row r="27" spans="1:10" x14ac:dyDescent="0.15">
      <c r="A27" t="s">
        <v>39</v>
      </c>
    </row>
    <row r="28" spans="1:10" x14ac:dyDescent="0.15">
      <c r="A28" t="s">
        <v>63</v>
      </c>
    </row>
    <row r="29" spans="1:10" x14ac:dyDescent="0.15">
      <c r="A29" t="s">
        <v>64</v>
      </c>
    </row>
    <row r="31" spans="1:10" x14ac:dyDescent="0.15">
      <c r="A31" s="9" t="s">
        <v>40</v>
      </c>
      <c r="B31" s="1"/>
      <c r="C31" s="1"/>
      <c r="D31" s="1"/>
      <c r="E31" s="2"/>
      <c r="F31" s="3"/>
      <c r="G31" s="4"/>
      <c r="H31" s="4"/>
    </row>
    <row r="32" spans="1:10" x14ac:dyDescent="0.15">
      <c r="A32" s="3"/>
      <c r="B32" s="4"/>
      <c r="C32" s="4"/>
      <c r="D32" s="4"/>
      <c r="E32" s="5"/>
      <c r="F32" s="4"/>
    </row>
    <row r="33" spans="1:6" x14ac:dyDescent="0.15">
      <c r="A33" s="6" t="s">
        <v>0</v>
      </c>
      <c r="B33" s="22" t="s">
        <v>34</v>
      </c>
      <c r="C33" s="4"/>
      <c r="D33" s="14" t="s">
        <v>35</v>
      </c>
      <c r="E33" s="15" t="s">
        <v>42</v>
      </c>
      <c r="F33" s="4"/>
    </row>
    <row r="34" spans="1:6" x14ac:dyDescent="0.15">
      <c r="A34" t="str">
        <f>'Periodic Table'!A4</f>
        <v>SiO2</v>
      </c>
      <c r="B34" s="16">
        <f>B11</f>
        <v>63.33841605854515</v>
      </c>
      <c r="C34" s="4"/>
      <c r="D34" s="12" t="str">
        <f>'Periodic Table'!C4</f>
        <v>Si</v>
      </c>
      <c r="E34" s="27">
        <f t="shared" ref="E34:E43" si="4">G11</f>
        <v>2.3377352998364471</v>
      </c>
      <c r="F34" s="4"/>
    </row>
    <row r="35" spans="1:6" x14ac:dyDescent="0.15">
      <c r="A35" t="str">
        <f>'Periodic Table'!A5</f>
        <v>TiO2</v>
      </c>
      <c r="B35" s="16">
        <f>B12</f>
        <v>0</v>
      </c>
      <c r="C35" s="4"/>
      <c r="D35" s="12" t="str">
        <f>'Periodic Table'!C5</f>
        <v>Ti</v>
      </c>
      <c r="E35" s="27">
        <f t="shared" si="4"/>
        <v>0</v>
      </c>
      <c r="F35" s="4"/>
    </row>
    <row r="36" spans="1:6" x14ac:dyDescent="0.15">
      <c r="A36" t="str">
        <f>'Periodic Table'!A6</f>
        <v>Al2O3</v>
      </c>
      <c r="B36" s="16">
        <f>B13</f>
        <v>3.2307943470702125</v>
      </c>
      <c r="C36" s="4"/>
      <c r="D36" s="12" t="str">
        <f>'Periodic Table'!C6</f>
        <v>Al</v>
      </c>
      <c r="E36" s="27">
        <f t="shared" si="4"/>
        <v>0.14053780727577295</v>
      </c>
      <c r="F36" s="4"/>
    </row>
    <row r="37" spans="1:6" x14ac:dyDescent="0.15">
      <c r="A37" t="str">
        <f>'Periodic Table'!A8</f>
        <v>Cr2O3</v>
      </c>
      <c r="B37" s="16">
        <f>B14</f>
        <v>0</v>
      </c>
      <c r="C37" s="4"/>
      <c r="D37" s="12" t="str">
        <f>'Periodic Table'!C8</f>
        <v>Cr</v>
      </c>
      <c r="E37" s="27">
        <f t="shared" si="4"/>
        <v>0</v>
      </c>
      <c r="F37" s="4"/>
    </row>
    <row r="38" spans="1:6" x14ac:dyDescent="0.15">
      <c r="A38" t="str">
        <f>'Periodic Table'!A7</f>
        <v>Fe2O3</v>
      </c>
      <c r="B38" s="19">
        <f>IF(B15&gt;0,B15,('Periodic Table'!B7/(2*'Periodic Table'!B9))*B16*G15/(G15+G16))</f>
        <v>0</v>
      </c>
      <c r="C38" s="4"/>
      <c r="D38" s="12" t="str">
        <f>'Periodic Table'!C7</f>
        <v>Fe3</v>
      </c>
      <c r="E38" s="27">
        <f t="shared" si="4"/>
        <v>0</v>
      </c>
      <c r="F38" s="4"/>
    </row>
    <row r="39" spans="1:6" x14ac:dyDescent="0.15">
      <c r="A39" t="str">
        <f>'Periodic Table'!A9</f>
        <v>FeO</v>
      </c>
      <c r="B39" s="19">
        <f>IF(B15&gt;0,B16,B16*G16/(G16+G15))</f>
        <v>12.339280017832534</v>
      </c>
      <c r="C39" s="4"/>
      <c r="D39" s="12" t="str">
        <f>'Periodic Table'!C9</f>
        <v>Fe2</v>
      </c>
      <c r="E39" s="27">
        <f t="shared" si="4"/>
        <v>0.38086753058977868</v>
      </c>
      <c r="F39" s="4"/>
    </row>
    <row r="40" spans="1:6" x14ac:dyDescent="0.15">
      <c r="A40" t="str">
        <f>'Periodic Table'!A10</f>
        <v>MnO</v>
      </c>
      <c r="B40" s="16">
        <f>B17</f>
        <v>0</v>
      </c>
      <c r="C40" s="4"/>
      <c r="D40" s="12" t="str">
        <f>'Periodic Table'!C10</f>
        <v>Mn</v>
      </c>
      <c r="E40" s="27">
        <f t="shared" si="4"/>
        <v>0</v>
      </c>
      <c r="F40" s="4"/>
    </row>
    <row r="41" spans="1:6" x14ac:dyDescent="0.15">
      <c r="A41" t="str">
        <f>'Periodic Table'!A11</f>
        <v>MgO</v>
      </c>
      <c r="B41" s="16">
        <f>B18</f>
        <v>19.822672942690438</v>
      </c>
      <c r="C41" s="4"/>
      <c r="D41" s="12" t="str">
        <f>'Periodic Table'!C11</f>
        <v>Mg</v>
      </c>
      <c r="E41" s="27">
        <f t="shared" si="4"/>
        <v>1.0906838872686284</v>
      </c>
      <c r="F41" s="4"/>
    </row>
    <row r="42" spans="1:6" x14ac:dyDescent="0.15">
      <c r="A42" t="str">
        <f>'Periodic Table'!A12</f>
        <v>CaO</v>
      </c>
      <c r="B42" s="16">
        <f>B19</f>
        <v>1.2688366338616637</v>
      </c>
      <c r="C42" s="4"/>
      <c r="D42" s="12" t="str">
        <f>'Periodic Table'!C12</f>
        <v>Ca</v>
      </c>
      <c r="E42" s="27">
        <f t="shared" si="4"/>
        <v>5.0175475029373022E-2</v>
      </c>
      <c r="F42" s="4"/>
    </row>
    <row r="43" spans="1:6" x14ac:dyDescent="0.15">
      <c r="A43" t="str">
        <f>'Periodic Table'!A14</f>
        <v>Na2O</v>
      </c>
      <c r="B43" s="16">
        <f>B20</f>
        <v>0</v>
      </c>
      <c r="C43" s="4"/>
      <c r="D43" s="12" t="str">
        <f>'Periodic Table'!C14</f>
        <v>Na</v>
      </c>
      <c r="E43" s="27">
        <f t="shared" si="4"/>
        <v>0</v>
      </c>
      <c r="F43" s="4"/>
    </row>
    <row r="44" spans="1:6" x14ac:dyDescent="0.15">
      <c r="B44" s="16"/>
      <c r="C44" s="4"/>
      <c r="D44" s="12" t="s">
        <v>45</v>
      </c>
      <c r="E44" s="27">
        <f>G22</f>
        <v>4</v>
      </c>
      <c r="F44" s="4"/>
    </row>
    <row r="45" spans="1:6" x14ac:dyDescent="0.15">
      <c r="A45" s="6" t="s">
        <v>38</v>
      </c>
      <c r="B45" s="17">
        <f>SUM(B34:B43)</f>
        <v>100</v>
      </c>
      <c r="C45" s="7"/>
      <c r="D45" s="14" t="s">
        <v>46</v>
      </c>
      <c r="E45" s="28">
        <f>H22</f>
        <v>6.4080042034743334</v>
      </c>
      <c r="F45" s="3"/>
    </row>
    <row r="47" spans="1:6" x14ac:dyDescent="0.15">
      <c r="A47" t="s">
        <v>87</v>
      </c>
    </row>
    <row r="48" spans="1:6" x14ac:dyDescent="0.15">
      <c r="A48" t="s">
        <v>88</v>
      </c>
    </row>
    <row r="49" spans="1:9" x14ac:dyDescent="0.15">
      <c r="A49" t="s">
        <v>89</v>
      </c>
    </row>
    <row r="50" spans="1:9" x14ac:dyDescent="0.15">
      <c r="A50" t="s">
        <v>94</v>
      </c>
    </row>
    <row r="52" spans="1:9" x14ac:dyDescent="0.15">
      <c r="A52" s="9" t="s">
        <v>82</v>
      </c>
      <c r="B52" s="1"/>
      <c r="C52" s="1"/>
      <c r="D52" s="1"/>
      <c r="E52" s="1"/>
      <c r="F52" s="1"/>
      <c r="G52" s="1"/>
      <c r="H52" s="2"/>
    </row>
    <row r="53" spans="1:9" x14ac:dyDescent="0.15">
      <c r="G53" s="12" t="s">
        <v>41</v>
      </c>
      <c r="H53" s="13"/>
    </row>
    <row r="54" spans="1:9" x14ac:dyDescent="0.15">
      <c r="A54" s="3"/>
      <c r="B54" s="14" t="s">
        <v>91</v>
      </c>
      <c r="C54" s="14" t="s">
        <v>92</v>
      </c>
      <c r="D54" s="24" t="s">
        <v>93</v>
      </c>
      <c r="F54" s="7"/>
      <c r="G54" s="14" t="s">
        <v>106</v>
      </c>
      <c r="H54" s="15" t="s">
        <v>44</v>
      </c>
    </row>
    <row r="55" spans="1:9" x14ac:dyDescent="0.15">
      <c r="A55" s="3" t="str">
        <f t="shared" ref="A55:A64" si="5">D34</f>
        <v>Si</v>
      </c>
      <c r="B55" s="20"/>
      <c r="D55" s="20">
        <f>E34</f>
        <v>2.3377352998364471</v>
      </c>
      <c r="F55" s="35"/>
      <c r="G55" s="76" t="s">
        <v>111</v>
      </c>
      <c r="H55" s="33">
        <f>100*E$42/(E$42+E$41+E$39+E$38)</f>
        <v>3.2972720179870816</v>
      </c>
    </row>
    <row r="56" spans="1:9" x14ac:dyDescent="0.15">
      <c r="A56" s="3" t="str">
        <f t="shared" si="5"/>
        <v>Ti</v>
      </c>
      <c r="B56" s="20"/>
      <c r="C56" s="20">
        <f>E35</f>
        <v>0</v>
      </c>
      <c r="D56" s="20"/>
      <c r="F56" s="35"/>
      <c r="G56" s="76" t="s">
        <v>112</v>
      </c>
      <c r="H56" s="33">
        <f>100*E$41/(E$42+E$41+E$39+E$38)</f>
        <v>71.674088981817121</v>
      </c>
    </row>
    <row r="57" spans="1:9" x14ac:dyDescent="0.15">
      <c r="A57" s="3" t="str">
        <f t="shared" si="5"/>
        <v>Al</v>
      </c>
      <c r="B57" s="20"/>
      <c r="C57" s="20">
        <f>IF(E34+E36-(D55+D57)=0," ",E34+E36-(D55+D57))</f>
        <v>0.14053780727577303</v>
      </c>
      <c r="D57" s="20">
        <f>IF(D55&lt;2,IF(2-D55&lt;E36,2-D55,E36),0)</f>
        <v>0</v>
      </c>
      <c r="F57" s="35"/>
      <c r="G57" s="76" t="s">
        <v>113</v>
      </c>
      <c r="H57" s="33">
        <f>100*(E$38+E$39)/(E$42+E$41+E$39+E$38)</f>
        <v>25.028639000195799</v>
      </c>
    </row>
    <row r="58" spans="1:9" x14ac:dyDescent="0.15">
      <c r="A58" s="3" t="str">
        <f t="shared" si="5"/>
        <v>Cr</v>
      </c>
      <c r="B58" s="20"/>
      <c r="C58" s="20">
        <f>E37</f>
        <v>0</v>
      </c>
      <c r="G58" s="39" t="s">
        <v>38</v>
      </c>
      <c r="H58" s="33">
        <f>SUM(H$55:H$57)</f>
        <v>100</v>
      </c>
    </row>
    <row r="59" spans="1:9" x14ac:dyDescent="0.15">
      <c r="A59" s="3" t="str">
        <f t="shared" si="5"/>
        <v>Fe3</v>
      </c>
      <c r="B59" s="20"/>
      <c r="C59" s="20">
        <f>E38</f>
        <v>0</v>
      </c>
      <c r="G59" s="4"/>
      <c r="H59" s="5"/>
    </row>
    <row r="60" spans="1:9" x14ac:dyDescent="0.15">
      <c r="A60" s="3" t="str">
        <f t="shared" si="5"/>
        <v>Fe2</v>
      </c>
      <c r="B60" s="20">
        <f>IF(B64+B63+B61&lt;1,$H61*(1-(B61+B63+B64)),0)</f>
        <v>0.24583396606395758</v>
      </c>
      <c r="C60" s="20">
        <f>E39-B60</f>
        <v>0.1350335645258211</v>
      </c>
      <c r="G60" s="39" t="s">
        <v>110</v>
      </c>
      <c r="H60" s="38">
        <f>(E$38+E$39)/(E$38+E$39+E$41)</f>
        <v>0.25882040271760715</v>
      </c>
      <c r="I60" s="20"/>
    </row>
    <row r="61" spans="1:9" x14ac:dyDescent="0.15">
      <c r="A61" s="3" t="str">
        <f t="shared" si="5"/>
        <v>Mn</v>
      </c>
      <c r="B61" s="20">
        <f>E40</f>
        <v>0</v>
      </c>
      <c r="G61" s="39" t="s">
        <v>109</v>
      </c>
      <c r="H61" s="38">
        <f>E$39/(E$39+E$41)</f>
        <v>0.25882040271760715</v>
      </c>
    </row>
    <row r="62" spans="1:9" x14ac:dyDescent="0.15">
      <c r="A62" s="3" t="str">
        <f t="shared" si="5"/>
        <v>Mg</v>
      </c>
      <c r="B62" s="20">
        <f>(1-H61)*(1-(B61+B63+B64))</f>
        <v>0.70399055890666939</v>
      </c>
      <c r="C62" s="20">
        <f>E41-B62</f>
        <v>0.38669332836195902</v>
      </c>
      <c r="H62" s="5"/>
    </row>
    <row r="63" spans="1:9" x14ac:dyDescent="0.15">
      <c r="A63" s="3" t="str">
        <f t="shared" si="5"/>
        <v>Ca</v>
      </c>
      <c r="B63" s="20">
        <f>E42</f>
        <v>5.0175475029373022E-2</v>
      </c>
      <c r="C63" s="20"/>
      <c r="G63" s="48"/>
      <c r="H63" s="5"/>
    </row>
    <row r="64" spans="1:9" x14ac:dyDescent="0.15">
      <c r="A64" s="3" t="str">
        <f t="shared" si="5"/>
        <v>Na</v>
      </c>
      <c r="B64" s="20">
        <f>E43</f>
        <v>0</v>
      </c>
      <c r="G64" s="36"/>
      <c r="H64" s="5"/>
    </row>
    <row r="65" spans="1:8" x14ac:dyDescent="0.15">
      <c r="A65" s="3"/>
      <c r="E65" s="61" t="str">
        <f>IF(B66&lt;0.985,"Note: difficiency of cubic cations",IF(B66&gt;1.015,"Note: excess cubic cations"," "))</f>
        <v xml:space="preserve"> </v>
      </c>
      <c r="F65" s="35"/>
      <c r="G65" s="36"/>
      <c r="H65" s="5"/>
    </row>
    <row r="66" spans="1:8" x14ac:dyDescent="0.15">
      <c r="A66" s="3" t="s">
        <v>81</v>
      </c>
      <c r="B66" s="20">
        <f>SUM(B55:B64)</f>
        <v>1</v>
      </c>
      <c r="C66" s="20">
        <f>SUM(C55:C64)</f>
        <v>0.6622647001635531</v>
      </c>
      <c r="D66" s="20">
        <f>SUM(D55:D64)</f>
        <v>2.3377352998364471</v>
      </c>
      <c r="E66" s="61" t="str">
        <f>IF(C66&lt;0.985,"Note: deficiency of octahedral cations",IF(C66&gt;1.015,"Note: excess octahedral cations"," "))</f>
        <v>Note: deficiency of octahedral cations</v>
      </c>
      <c r="F66" s="35"/>
      <c r="G66" s="36"/>
      <c r="H66" s="5"/>
    </row>
    <row r="67" spans="1:8" x14ac:dyDescent="0.15">
      <c r="A67" s="6" t="s">
        <v>72</v>
      </c>
      <c r="B67" s="42">
        <f>SUM(B55:B64)</f>
        <v>1</v>
      </c>
      <c r="C67" s="42">
        <v>1</v>
      </c>
      <c r="D67" s="42">
        <v>2</v>
      </c>
      <c r="E67" s="64" t="str">
        <f>IF(D66&lt;1.985,"Note: difficiency of tetrahedral cations",IF(D66&gt;2.015,"Note: excess tetrahedral cations"," "))</f>
        <v>Note: excess tetrahedral cations</v>
      </c>
      <c r="F67" s="75"/>
      <c r="G67" s="7"/>
      <c r="H67" s="8"/>
    </row>
    <row r="69" spans="1:8" x14ac:dyDescent="0.15">
      <c r="B69" s="20"/>
      <c r="C69" s="20"/>
      <c r="D69" s="20"/>
    </row>
  </sheetData>
  <phoneticPr fontId="2" type="noConversion"/>
  <pageMargins left="0.75" right="0.75" top="1" bottom="1" header="0.5" footer="0.5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A971-A72C-D44F-A8A1-2C7352F46445}">
  <dimension ref="A1:K62"/>
  <sheetViews>
    <sheetView topLeftCell="A28" workbookViewId="0">
      <selection activeCell="H42" sqref="H42"/>
    </sheetView>
  </sheetViews>
  <sheetFormatPr baseColWidth="10" defaultColWidth="8.83203125" defaultRowHeight="13" x14ac:dyDescent="0.15"/>
  <sheetData>
    <row r="1" spans="1:11" x14ac:dyDescent="0.15">
      <c r="A1" s="10" t="s">
        <v>65</v>
      </c>
    </row>
    <row r="3" spans="1:11" x14ac:dyDescent="0.15">
      <c r="A3" t="s">
        <v>84</v>
      </c>
    </row>
    <row r="4" spans="1:11" x14ac:dyDescent="0.15">
      <c r="A4" t="s">
        <v>95</v>
      </c>
    </row>
    <row r="5" spans="1:11" x14ac:dyDescent="0.15">
      <c r="A5" t="s">
        <v>96</v>
      </c>
    </row>
    <row r="6" spans="1:11" x14ac:dyDescent="0.15">
      <c r="A6" t="s">
        <v>86</v>
      </c>
    </row>
    <row r="8" spans="1:11" x14ac:dyDescent="0.15">
      <c r="A8" s="45" t="s">
        <v>90</v>
      </c>
      <c r="B8" s="1"/>
      <c r="C8" s="1"/>
      <c r="D8" s="1"/>
      <c r="E8" s="1"/>
      <c r="F8" s="1"/>
      <c r="G8" s="1"/>
      <c r="H8" s="2"/>
    </row>
    <row r="9" spans="1:11" x14ac:dyDescent="0.15">
      <c r="B9" s="25" t="s">
        <v>29</v>
      </c>
      <c r="C9" s="25" t="s">
        <v>30</v>
      </c>
      <c r="D9" s="25" t="s">
        <v>30</v>
      </c>
      <c r="E9" s="25" t="s">
        <v>31</v>
      </c>
      <c r="F9" s="25" t="s">
        <v>31</v>
      </c>
      <c r="G9" s="25" t="s">
        <v>32</v>
      </c>
      <c r="H9" s="43" t="s">
        <v>33</v>
      </c>
    </row>
    <row r="10" spans="1:11" x14ac:dyDescent="0.15">
      <c r="A10" t="s">
        <v>0</v>
      </c>
      <c r="B10" s="25" t="s">
        <v>34</v>
      </c>
      <c r="C10" s="25" t="s">
        <v>35</v>
      </c>
      <c r="D10" s="25" t="s">
        <v>36</v>
      </c>
      <c r="E10" s="25" t="s">
        <v>35</v>
      </c>
      <c r="F10" s="25" t="s">
        <v>36</v>
      </c>
      <c r="G10" s="25" t="s">
        <v>37</v>
      </c>
      <c r="H10" s="43" t="s">
        <v>36</v>
      </c>
    </row>
    <row r="11" spans="1:11" x14ac:dyDescent="0.15">
      <c r="A11" t="str">
        <f>'Periodic Table'!A4</f>
        <v>SiO2</v>
      </c>
      <c r="B11" s="18">
        <v>37.39</v>
      </c>
      <c r="C11" s="20">
        <f>'Periodic Table'!D4*B11/'Periodic Table'!B4</f>
        <v>0.62229234592064819</v>
      </c>
      <c r="D11" s="20">
        <f>'Periodic Table'!E4*B11/'Periodic Table'!B4</f>
        <v>1.2445846918412964</v>
      </c>
      <c r="E11" s="20">
        <f t="shared" ref="E11:E19" si="0">IF(B$15&gt;0,H$22*C11/D$21,G$22*C11/C$21)</f>
        <v>2.9960530703068686</v>
      </c>
      <c r="F11" s="20">
        <f>E11*'Periodic Table'!E4/'Periodic Table'!D4</f>
        <v>5.9921061406137373</v>
      </c>
      <c r="G11" s="20">
        <f t="shared" ref="G11:H13" si="1">E11</f>
        <v>2.9960530703068686</v>
      </c>
      <c r="H11" s="44">
        <f t="shared" si="1"/>
        <v>5.9921061406137373</v>
      </c>
      <c r="J11" s="16"/>
      <c r="K11" s="20"/>
    </row>
    <row r="12" spans="1:11" x14ac:dyDescent="0.15">
      <c r="A12" t="str">
        <f>'Periodic Table'!A5</f>
        <v>TiO2</v>
      </c>
      <c r="B12" s="18">
        <v>0.28000000000000003</v>
      </c>
      <c r="C12" s="20">
        <f>'Periodic Table'!D5*B12/'Periodic Table'!B5</f>
        <v>3.5044331078814706E-3</v>
      </c>
      <c r="D12" s="20">
        <f>'Periodic Table'!E5*B12/'Periodic Table'!B5</f>
        <v>7.0088662157629412E-3</v>
      </c>
      <c r="E12" s="20">
        <f t="shared" si="0"/>
        <v>1.687224283149413E-2</v>
      </c>
      <c r="F12" s="20">
        <f>E12*'Periodic Table'!E5/'Periodic Table'!D5</f>
        <v>3.3744485662988259E-2</v>
      </c>
      <c r="G12" s="20">
        <f t="shared" si="1"/>
        <v>1.687224283149413E-2</v>
      </c>
      <c r="H12" s="44">
        <f t="shared" si="1"/>
        <v>3.3744485662988259E-2</v>
      </c>
      <c r="J12" s="16"/>
      <c r="K12" s="20"/>
    </row>
    <row r="13" spans="1:11" x14ac:dyDescent="0.15">
      <c r="A13" t="str">
        <f>'Periodic Table'!A6</f>
        <v>Al2O3</v>
      </c>
      <c r="B13" s="18">
        <v>10.08</v>
      </c>
      <c r="C13" s="20">
        <f>'Periodic Table'!D6*B13/'Periodic Table'!B6</f>
        <v>0.19772211568940681</v>
      </c>
      <c r="D13" s="20">
        <f>'Periodic Table'!E6*B13/'Periodic Table'!B6</f>
        <v>0.29658317353411023</v>
      </c>
      <c r="E13" s="20">
        <f t="shared" si="0"/>
        <v>0.95194156839967858</v>
      </c>
      <c r="F13" s="20">
        <f>E13*'Periodic Table'!E6/'Periodic Table'!D6</f>
        <v>1.4279123525995179</v>
      </c>
      <c r="G13" s="20">
        <f t="shared" si="1"/>
        <v>0.95194156839967858</v>
      </c>
      <c r="H13" s="44">
        <f t="shared" si="1"/>
        <v>1.4279123525995179</v>
      </c>
      <c r="J13" s="16"/>
      <c r="K13" s="20"/>
    </row>
    <row r="14" spans="1:11" x14ac:dyDescent="0.15">
      <c r="A14" t="str">
        <f>'Periodic Table'!A8</f>
        <v>Cr2O3</v>
      </c>
      <c r="B14" s="40">
        <v>0</v>
      </c>
      <c r="C14" s="20">
        <f>'Periodic Table'!D8*B14/'Periodic Table'!B8</f>
        <v>0</v>
      </c>
      <c r="D14" s="20">
        <f>'Periodic Table'!E8*B14/'Periodic Table'!B8</f>
        <v>0</v>
      </c>
      <c r="E14" s="20">
        <f t="shared" si="0"/>
        <v>0</v>
      </c>
      <c r="F14" s="20">
        <f>E14*'Periodic Table'!E8/'Periodic Table'!D8</f>
        <v>0</v>
      </c>
      <c r="G14" s="20">
        <f>E14</f>
        <v>0</v>
      </c>
      <c r="H14" s="44">
        <f>F14</f>
        <v>0</v>
      </c>
      <c r="J14" s="16"/>
      <c r="K14" s="20"/>
    </row>
    <row r="15" spans="1:11" x14ac:dyDescent="0.15">
      <c r="A15" s="3" t="str">
        <f>'Periodic Table'!A7</f>
        <v>Fe2O3</v>
      </c>
      <c r="B15" s="78">
        <v>0</v>
      </c>
      <c r="C15" s="20">
        <f>IF(B15&gt;0,'Periodic Table'!D7*B15/'Periodic Table'!B7,0)</f>
        <v>0</v>
      </c>
      <c r="D15" s="20">
        <f>IF(B15&gt;0,'Periodic Table'!E7*B15/'Periodic Table'!B7,0)</f>
        <v>0</v>
      </c>
      <c r="E15" s="20">
        <f t="shared" si="0"/>
        <v>0</v>
      </c>
      <c r="F15" s="20">
        <f>E15*'Periodic Table'!E7/'Periodic Table'!D7</f>
        <v>0</v>
      </c>
      <c r="G15" s="20">
        <f>IF(B15&gt;0,E15,IF((2*H22)-E24&gt;0,(2*H22)-E24,0))</f>
        <v>1.0222078053235961</v>
      </c>
      <c r="H15" s="44">
        <f>'Periodic Table'!E7*G15/'Periodic Table'!D7</f>
        <v>1.5333117079853942</v>
      </c>
      <c r="J15" s="19"/>
      <c r="K15" s="20"/>
    </row>
    <row r="16" spans="1:11" x14ac:dyDescent="0.15">
      <c r="A16" t="str">
        <f>'Periodic Table'!A9</f>
        <v>FeO</v>
      </c>
      <c r="B16" s="18">
        <v>19.350000000000001</v>
      </c>
      <c r="C16" s="20">
        <f>'Periodic Table'!D9*B16/'Periodic Table'!B9</f>
        <v>0.26932455905932656</v>
      </c>
      <c r="D16" s="20">
        <f>'Periodic Table'!E9*B16/'Periodic Table'!B9</f>
        <v>0.26932455905932656</v>
      </c>
      <c r="E16" s="20">
        <f t="shared" si="0"/>
        <v>1.2966745893121308</v>
      </c>
      <c r="F16" s="20">
        <f>E16*'Periodic Table'!E9/'Periodic Table'!D9</f>
        <v>1.2966745893121308</v>
      </c>
      <c r="G16" s="20">
        <f>IF(B15&gt;0,E16,E16-G15)</f>
        <v>0.27446678398853463</v>
      </c>
      <c r="H16" s="44">
        <f>'Periodic Table'!E9*G16/'Periodic Table'!D9</f>
        <v>0.27446678398853463</v>
      </c>
      <c r="J16" s="19"/>
      <c r="K16" s="20"/>
    </row>
    <row r="17" spans="1:11" x14ac:dyDescent="0.15">
      <c r="A17" t="str">
        <f>'Periodic Table'!A10</f>
        <v>MnO</v>
      </c>
      <c r="B17" s="18">
        <v>0.14000000000000001</v>
      </c>
      <c r="C17" s="20">
        <f>'Periodic Table'!D10*B17/'Periodic Table'!B10</f>
        <v>1.9735710640649364E-3</v>
      </c>
      <c r="D17" s="20">
        <f>'Periodic Table'!E10*B17/'Periodic Table'!B10</f>
        <v>1.9735710640649364E-3</v>
      </c>
      <c r="E17" s="20">
        <f t="shared" si="0"/>
        <v>9.5018421562178997E-3</v>
      </c>
      <c r="F17" s="20">
        <f>E17*'Periodic Table'!E10/'Periodic Table'!D10</f>
        <v>9.5018421562178997E-3</v>
      </c>
      <c r="G17" s="20">
        <f t="shared" ref="G17:H19" si="2">E17</f>
        <v>9.5018421562178997E-3</v>
      </c>
      <c r="H17" s="44">
        <f t="shared" si="2"/>
        <v>9.5018421562178997E-3</v>
      </c>
      <c r="J17" s="16"/>
      <c r="K17" s="20"/>
    </row>
    <row r="18" spans="1:11" x14ac:dyDescent="0.15">
      <c r="A18" t="str">
        <f>'Periodic Table'!A11</f>
        <v>MgO</v>
      </c>
      <c r="B18" s="18">
        <v>1.55</v>
      </c>
      <c r="C18" s="20">
        <f>'Periodic Table'!D11*B18/'Periodic Table'!B11</f>
        <v>3.8457339645299272E-2</v>
      </c>
      <c r="D18" s="20">
        <f>'Periodic Table'!E11*B18/'Periodic Table'!B11</f>
        <v>3.8457339645299272E-2</v>
      </c>
      <c r="E18" s="20">
        <f t="shared" si="0"/>
        <v>0.18515450378820067</v>
      </c>
      <c r="F18" s="20">
        <f>E18*'Periodic Table'!E11/'Periodic Table'!D11</f>
        <v>0.18515450378820067</v>
      </c>
      <c r="G18" s="20">
        <f t="shared" si="2"/>
        <v>0.18515450378820067</v>
      </c>
      <c r="H18" s="44">
        <f t="shared" si="2"/>
        <v>0.18515450378820067</v>
      </c>
      <c r="J18" s="16"/>
      <c r="K18" s="20"/>
    </row>
    <row r="19" spans="1:11" x14ac:dyDescent="0.15">
      <c r="A19" t="str">
        <f>'Periodic Table'!A12</f>
        <v>CaO</v>
      </c>
      <c r="B19" s="18">
        <v>29.63</v>
      </c>
      <c r="C19" s="20">
        <f>'Periodic Table'!D12*B19/'Periodic Table'!B12</f>
        <v>0.52835800668338107</v>
      </c>
      <c r="D19" s="20">
        <f>'Periodic Table'!E12*B19/'Periodic Table'!B12</f>
        <v>0.52835800668338107</v>
      </c>
      <c r="E19" s="20">
        <f t="shared" si="0"/>
        <v>2.5438021832054094</v>
      </c>
      <c r="F19" s="20">
        <f>E19*'Periodic Table'!E12/'Periodic Table'!D12</f>
        <v>2.5438021832054094</v>
      </c>
      <c r="G19" s="20">
        <f t="shared" si="2"/>
        <v>2.5438021832054094</v>
      </c>
      <c r="H19" s="44">
        <f t="shared" si="2"/>
        <v>2.5438021832054094</v>
      </c>
      <c r="J19" s="16"/>
      <c r="K19" s="20"/>
    </row>
    <row r="20" spans="1:11" x14ac:dyDescent="0.15">
      <c r="B20" s="35"/>
      <c r="C20" s="20"/>
      <c r="D20" s="20"/>
      <c r="E20" s="20"/>
      <c r="F20" s="20"/>
      <c r="G20" s="20"/>
      <c r="H20" s="44"/>
    </row>
    <row r="21" spans="1:11" x14ac:dyDescent="0.15">
      <c r="A21" t="s">
        <v>38</v>
      </c>
      <c r="B21">
        <f t="shared" ref="B21:H21" si="3">SUM(B11:B19)</f>
        <v>98.419999999999987</v>
      </c>
      <c r="C21" s="20">
        <f t="shared" si="3"/>
        <v>1.6616323711700083</v>
      </c>
      <c r="D21" s="20">
        <f t="shared" si="3"/>
        <v>2.3862902080432411</v>
      </c>
      <c r="E21" s="20">
        <f t="shared" si="3"/>
        <v>8</v>
      </c>
      <c r="F21" s="20">
        <f t="shared" si="3"/>
        <v>11.488896097338204</v>
      </c>
      <c r="G21" s="20">
        <f t="shared" si="3"/>
        <v>8</v>
      </c>
      <c r="H21" s="44">
        <f t="shared" si="3"/>
        <v>12.000000000000002</v>
      </c>
    </row>
    <row r="22" spans="1:11" x14ac:dyDescent="0.15">
      <c r="A22" t="s">
        <v>72</v>
      </c>
      <c r="G22" s="20">
        <v>8</v>
      </c>
      <c r="H22" s="44">
        <v>12</v>
      </c>
    </row>
    <row r="23" spans="1:11" x14ac:dyDescent="0.15">
      <c r="E23" s="56" t="str">
        <f>IF(G24&lt;23.95,"Note: insufficient cation charge",IF(G24&gt;24.05,"Note: too much cation charge"," "))</f>
        <v xml:space="preserve"> </v>
      </c>
      <c r="H23" s="5"/>
    </row>
    <row r="24" spans="1:11" x14ac:dyDescent="0.15">
      <c r="A24" s="7" t="s">
        <v>101</v>
      </c>
      <c r="B24" s="7"/>
      <c r="C24" s="42">
        <f>4*(C11+C12)+3*(C13+C15+C14)+2*(C16+C17+C18+C19)</f>
        <v>4.7725804160864831</v>
      </c>
      <c r="D24" s="42">
        <f>2*SUM(D11:D19)*(-1)</f>
        <v>-4.7725804160864822</v>
      </c>
      <c r="E24" s="42">
        <f>4*(E11+E12)+3*(E13+E15+E14)+2*(E16+E17+E18+E19)</f>
        <v>22.977792194676404</v>
      </c>
      <c r="F24" s="42">
        <f>2*SUM(F11:F19)*(-1)</f>
        <v>-22.977792194676407</v>
      </c>
      <c r="G24" s="42">
        <f>4*(G11+G12)+3*(G13+G15+G14)+2*(G16+G17+G18+G19)</f>
        <v>24</v>
      </c>
      <c r="H24" s="58">
        <f>2*SUM(H11:H19)*(-1)</f>
        <v>-24.000000000000004</v>
      </c>
    </row>
    <row r="25" spans="1:11" x14ac:dyDescent="0.15">
      <c r="A25" s="4"/>
      <c r="B25" s="4"/>
      <c r="C25" s="4"/>
      <c r="D25" s="4"/>
      <c r="E25" s="57"/>
      <c r="F25" s="57"/>
      <c r="G25" s="57"/>
      <c r="H25" s="1"/>
      <c r="K25" t="s">
        <v>116</v>
      </c>
    </row>
    <row r="26" spans="1:11" x14ac:dyDescent="0.15">
      <c r="A26" t="s">
        <v>39</v>
      </c>
    </row>
    <row r="27" spans="1:11" x14ac:dyDescent="0.15">
      <c r="A27" t="s">
        <v>63</v>
      </c>
    </row>
    <row r="29" spans="1:11" x14ac:dyDescent="0.15">
      <c r="A29" s="9" t="s">
        <v>40</v>
      </c>
      <c r="B29" s="1"/>
      <c r="C29" s="1"/>
      <c r="D29" s="1"/>
      <c r="E29" s="2"/>
    </row>
    <row r="30" spans="1:11" x14ac:dyDescent="0.15">
      <c r="A30" s="3"/>
      <c r="B30" s="4"/>
      <c r="C30" s="4"/>
      <c r="D30" s="4"/>
      <c r="E30" s="5"/>
    </row>
    <row r="31" spans="1:11" x14ac:dyDescent="0.15">
      <c r="A31" s="6" t="s">
        <v>0</v>
      </c>
      <c r="B31" s="22" t="s">
        <v>34</v>
      </c>
      <c r="C31" s="4"/>
      <c r="D31" s="14" t="s">
        <v>35</v>
      </c>
      <c r="E31" s="15" t="s">
        <v>42</v>
      </c>
    </row>
    <row r="32" spans="1:11" x14ac:dyDescent="0.15">
      <c r="A32" t="str">
        <f>'Periodic Table'!A4</f>
        <v>SiO2</v>
      </c>
      <c r="B32" s="16">
        <f>B11</f>
        <v>37.39</v>
      </c>
      <c r="C32" s="4"/>
      <c r="D32" s="12" t="str">
        <f>'Periodic Table'!C4</f>
        <v>Si</v>
      </c>
      <c r="E32" s="27">
        <f t="shared" ref="E32:E40" si="4">G11</f>
        <v>2.9960530703068686</v>
      </c>
      <c r="G32" s="29"/>
    </row>
    <row r="33" spans="1:8" x14ac:dyDescent="0.15">
      <c r="A33" t="str">
        <f>'Periodic Table'!A5</f>
        <v>TiO2</v>
      </c>
      <c r="B33" s="16">
        <f>B12</f>
        <v>0.28000000000000003</v>
      </c>
      <c r="C33" s="4"/>
      <c r="D33" s="12" t="str">
        <f>'Periodic Table'!C5</f>
        <v>Ti</v>
      </c>
      <c r="E33" s="27">
        <f t="shared" si="4"/>
        <v>1.687224283149413E-2</v>
      </c>
    </row>
    <row r="34" spans="1:8" x14ac:dyDescent="0.15">
      <c r="A34" t="str">
        <f>'Periodic Table'!A6</f>
        <v>Al2O3</v>
      </c>
      <c r="B34" s="16">
        <f>B13</f>
        <v>10.08</v>
      </c>
      <c r="C34" s="4"/>
      <c r="D34" s="12" t="str">
        <f>'Periodic Table'!C6</f>
        <v>Al</v>
      </c>
      <c r="E34" s="27">
        <f t="shared" si="4"/>
        <v>0.95194156839967858</v>
      </c>
    </row>
    <row r="35" spans="1:8" x14ac:dyDescent="0.15">
      <c r="A35" t="str">
        <f>'Periodic Table'!A8</f>
        <v>Cr2O3</v>
      </c>
      <c r="B35" s="16">
        <f>B14</f>
        <v>0</v>
      </c>
      <c r="C35" s="4"/>
      <c r="D35" s="12" t="str">
        <f>'Periodic Table'!C8</f>
        <v>Cr</v>
      </c>
      <c r="E35" s="27">
        <f t="shared" si="4"/>
        <v>0</v>
      </c>
    </row>
    <row r="36" spans="1:8" x14ac:dyDescent="0.15">
      <c r="A36" t="str">
        <f>'Periodic Table'!A7</f>
        <v>Fe2O3</v>
      </c>
      <c r="B36" s="19">
        <f>IF(B15&gt;0,G15,('Periodic Table'!B7/(2*'Periodic Table'!B9))*B16*G15/(G15+G16))</f>
        <v>16.95266025414989</v>
      </c>
      <c r="C36" s="4"/>
      <c r="D36" s="12" t="str">
        <f>'Periodic Table'!C7</f>
        <v>Fe3</v>
      </c>
      <c r="E36" s="27">
        <f t="shared" si="4"/>
        <v>1.0222078053235961</v>
      </c>
    </row>
    <row r="37" spans="1:8" x14ac:dyDescent="0.15">
      <c r="A37" t="str">
        <f>'Periodic Table'!A9</f>
        <v>FeO</v>
      </c>
      <c r="B37" s="19">
        <f>IF(B15&gt;0,B16,B16*G16/(G16+G15))</f>
        <v>4.0958096302292217</v>
      </c>
      <c r="C37" s="4"/>
      <c r="D37" s="12" t="str">
        <f>'Periodic Table'!C9</f>
        <v>Fe2</v>
      </c>
      <c r="E37" s="27">
        <f t="shared" si="4"/>
        <v>0.27446678398853463</v>
      </c>
    </row>
    <row r="38" spans="1:8" x14ac:dyDescent="0.15">
      <c r="A38" t="str">
        <f>'Periodic Table'!A10</f>
        <v>MnO</v>
      </c>
      <c r="B38" s="16">
        <f>B17</f>
        <v>0.14000000000000001</v>
      </c>
      <c r="C38" s="4"/>
      <c r="D38" s="12" t="str">
        <f>'Periodic Table'!C10</f>
        <v>Mn</v>
      </c>
      <c r="E38" s="27">
        <f t="shared" si="4"/>
        <v>9.5018421562178997E-3</v>
      </c>
    </row>
    <row r="39" spans="1:8" x14ac:dyDescent="0.15">
      <c r="A39" t="str">
        <f>'Periodic Table'!A11</f>
        <v>MgO</v>
      </c>
      <c r="B39" s="16">
        <f>B18</f>
        <v>1.55</v>
      </c>
      <c r="C39" s="4"/>
      <c r="D39" s="12" t="str">
        <f>'Periodic Table'!C11</f>
        <v>Mg</v>
      </c>
      <c r="E39" s="27">
        <f t="shared" si="4"/>
        <v>0.18515450378820067</v>
      </c>
    </row>
    <row r="40" spans="1:8" x14ac:dyDescent="0.15">
      <c r="A40" t="str">
        <f>'Periodic Table'!A12</f>
        <v>CaO</v>
      </c>
      <c r="B40" s="16">
        <f>B19</f>
        <v>29.63</v>
      </c>
      <c r="C40" s="4"/>
      <c r="D40" s="12" t="str">
        <f>'Periodic Table'!C12</f>
        <v>Ca</v>
      </c>
      <c r="E40" s="27">
        <f t="shared" si="4"/>
        <v>2.5438021832054094</v>
      </c>
    </row>
    <row r="41" spans="1:8" x14ac:dyDescent="0.15">
      <c r="B41" s="16"/>
      <c r="C41" s="4"/>
      <c r="D41" s="12"/>
      <c r="E41" s="27"/>
      <c r="H41" s="80" t="s">
        <v>117</v>
      </c>
    </row>
    <row r="42" spans="1:8" x14ac:dyDescent="0.15">
      <c r="B42" s="16"/>
      <c r="C42" s="4"/>
      <c r="D42" s="12" t="s">
        <v>45</v>
      </c>
      <c r="E42" s="27">
        <f>G21</f>
        <v>8</v>
      </c>
      <c r="G42" s="77" t="s">
        <v>110</v>
      </c>
      <c r="H42" s="79">
        <f>(E36+E37)/(E36+E37+E39)</f>
        <v>0.8750500279348582</v>
      </c>
    </row>
    <row r="43" spans="1:8" x14ac:dyDescent="0.15">
      <c r="A43" s="6" t="s">
        <v>38</v>
      </c>
      <c r="B43" s="17">
        <f>SUM(B32:B40)</f>
        <v>100.11846988437911</v>
      </c>
      <c r="C43" s="7"/>
      <c r="D43" s="14" t="s">
        <v>46</v>
      </c>
      <c r="E43" s="28">
        <f>H21</f>
        <v>12.000000000000002</v>
      </c>
      <c r="G43" s="77" t="s">
        <v>109</v>
      </c>
      <c r="H43" s="79">
        <f>(E37)/(E37+E39)</f>
        <v>0.59715855485322755</v>
      </c>
    </row>
    <row r="45" spans="1:8" x14ac:dyDescent="0.15">
      <c r="A45" s="4"/>
      <c r="B45" s="4"/>
      <c r="C45" s="4"/>
      <c r="D45" s="4"/>
      <c r="E45" s="4"/>
    </row>
    <row r="46" spans="1:8" x14ac:dyDescent="0.15">
      <c r="A46" s="9" t="s">
        <v>82</v>
      </c>
      <c r="B46" s="1"/>
      <c r="C46" s="1"/>
      <c r="D46" s="1"/>
      <c r="E46" s="65" t="s">
        <v>41</v>
      </c>
      <c r="F46" s="66" t="s">
        <v>79</v>
      </c>
      <c r="G46" s="66" t="s">
        <v>79</v>
      </c>
      <c r="H46" s="67" t="s">
        <v>79</v>
      </c>
    </row>
    <row r="47" spans="1:8" x14ac:dyDescent="0.15">
      <c r="A47" s="3"/>
      <c r="B47" s="12" t="s">
        <v>66</v>
      </c>
      <c r="C47" s="12" t="s">
        <v>67</v>
      </c>
      <c r="D47" s="12" t="s">
        <v>68</v>
      </c>
      <c r="E47" s="68" t="s">
        <v>43</v>
      </c>
      <c r="F47" s="69" t="s">
        <v>105</v>
      </c>
      <c r="G47" s="69" t="s">
        <v>102</v>
      </c>
      <c r="H47" s="70" t="s">
        <v>102</v>
      </c>
    </row>
    <row r="48" spans="1:8" x14ac:dyDescent="0.15">
      <c r="A48" s="3"/>
      <c r="B48" s="29" t="s">
        <v>71</v>
      </c>
      <c r="C48" s="29" t="s">
        <v>70</v>
      </c>
      <c r="D48" s="29" t="s">
        <v>69</v>
      </c>
      <c r="E48" s="68"/>
      <c r="F48" s="69" t="s">
        <v>83</v>
      </c>
      <c r="G48" s="69" t="s">
        <v>103</v>
      </c>
      <c r="H48" s="70" t="s">
        <v>104</v>
      </c>
    </row>
    <row r="49" spans="1:8" x14ac:dyDescent="0.15">
      <c r="A49" s="31" t="str">
        <f t="shared" ref="A49:A57" si="5">D32</f>
        <v>Si</v>
      </c>
      <c r="B49" s="29"/>
      <c r="C49" s="29"/>
      <c r="D49" s="30">
        <f>E32</f>
        <v>2.9960530703068686</v>
      </c>
      <c r="E49" s="49" t="s">
        <v>73</v>
      </c>
      <c r="F49" s="34">
        <f>100*(B54/(B54+B55+B56+B57))</f>
        <v>9.1096444638596417</v>
      </c>
      <c r="G49" s="34">
        <f>100*(E36+E37)/(E$36+E$37+E$38+E$39+E$40)</f>
        <v>32.13461740281754</v>
      </c>
      <c r="H49" s="33">
        <f>100*(E37)/(E$37+E$38+E$39+E$40)</f>
        <v>9.1096444638596434</v>
      </c>
    </row>
    <row r="50" spans="1:8" x14ac:dyDescent="0.15">
      <c r="A50" s="31" t="str">
        <f t="shared" si="5"/>
        <v>Ti</v>
      </c>
      <c r="B50" s="29"/>
      <c r="C50" s="30">
        <f>E33</f>
        <v>1.687224283149413E-2</v>
      </c>
      <c r="D50" s="29"/>
      <c r="E50" s="49" t="s">
        <v>75</v>
      </c>
      <c r="F50" s="34">
        <f>100*B56/(B$54+B$55+B$56+B$57)</f>
        <v>6.1453399784191003</v>
      </c>
      <c r="G50" s="34">
        <f>100*(E39)/(E$36+E$37+E$38+E$39+E$40)</f>
        <v>4.5885599892866633</v>
      </c>
      <c r="H50" s="33">
        <f>100*(E39)/(E$37+E$38+E$39+E$40)</f>
        <v>6.1453399784191003</v>
      </c>
    </row>
    <row r="51" spans="1:8" x14ac:dyDescent="0.15">
      <c r="A51" s="31" t="str">
        <f t="shared" si="5"/>
        <v>Al</v>
      </c>
      <c r="B51" s="29"/>
      <c r="C51" s="30">
        <f>E34</f>
        <v>0.95194156839967858</v>
      </c>
      <c r="D51" s="29"/>
      <c r="E51" s="49" t="s">
        <v>74</v>
      </c>
      <c r="F51" s="34">
        <f>100*(C51/(C$50+C$51+C$53+C$52))*(B$57/(B$54+B$55+B$56+B$57))</f>
        <v>40.36726130346333</v>
      </c>
      <c r="G51" s="34">
        <f>100*(E40)/(E$36+E$37+E$38+E$39+E$40)</f>
        <v>63.041344821233835</v>
      </c>
      <c r="H51" s="33">
        <f>100*(E40)/(E$37+E$38+E$39+E$40)</f>
        <v>84.429646234931099</v>
      </c>
    </row>
    <row r="52" spans="1:8" x14ac:dyDescent="0.15">
      <c r="A52" s="31" t="str">
        <f t="shared" si="5"/>
        <v>Cr</v>
      </c>
      <c r="B52" s="29"/>
      <c r="C52" s="30">
        <f>E35</f>
        <v>0</v>
      </c>
      <c r="D52" s="29"/>
      <c r="E52" s="49" t="s">
        <v>76</v>
      </c>
      <c r="F52" s="34">
        <f>100*B55/(B$54+B$55+B$56+B$57)</f>
        <v>0.31536932279016461</v>
      </c>
      <c r="G52" s="34">
        <f>100*(E38)/(E$36+E$37+E$38+E$39+E$40)</f>
        <v>0.2354777866619589</v>
      </c>
      <c r="H52" s="33">
        <f>100*(E38)/(E$37+E$38+E$39+E$40)</f>
        <v>0.31536932279016461</v>
      </c>
    </row>
    <row r="53" spans="1:8" x14ac:dyDescent="0.15">
      <c r="A53" s="31" t="str">
        <f t="shared" si="5"/>
        <v>Fe3</v>
      </c>
      <c r="B53" s="29"/>
      <c r="C53" s="30">
        <f>E36</f>
        <v>1.0222078053235961</v>
      </c>
      <c r="D53" s="29"/>
      <c r="E53" s="49" t="s">
        <v>77</v>
      </c>
      <c r="F53" s="34">
        <f>100*(C52/(C$50+C$51+C$53+C$52))*(B$57/(B$54+B$55+B$56+B$57))</f>
        <v>0</v>
      </c>
      <c r="G53" s="34"/>
      <c r="H53" s="33"/>
    </row>
    <row r="54" spans="1:8" x14ac:dyDescent="0.15">
      <c r="A54" s="31" t="str">
        <f t="shared" si="5"/>
        <v>Fe2</v>
      </c>
      <c r="B54" s="30">
        <f>E37</f>
        <v>0.27446678398853463</v>
      </c>
      <c r="C54" s="29"/>
      <c r="D54" s="29"/>
      <c r="E54" s="49" t="s">
        <v>78</v>
      </c>
      <c r="F54" s="34">
        <f>100*(C53/(C$50+C$51+C$53+C$52))*(B$57/(B$54+B$55+B$56+B$57))</f>
        <v>43.34691429990432</v>
      </c>
      <c r="G54" s="34"/>
      <c r="H54" s="33"/>
    </row>
    <row r="55" spans="1:8" x14ac:dyDescent="0.15">
      <c r="A55" s="31" t="str">
        <f t="shared" si="5"/>
        <v>Mn</v>
      </c>
      <c r="B55" s="30">
        <f>E38</f>
        <v>9.5018421562178997E-3</v>
      </c>
      <c r="C55" s="29"/>
      <c r="D55" s="29"/>
      <c r="E55" s="49" t="s">
        <v>80</v>
      </c>
      <c r="F55" s="34">
        <f>100*(C50/(C$50+C$51+C$53+C$52))*(B$57/(B$54+B$55+B$56+B$57))</f>
        <v>0.71547063156343982</v>
      </c>
      <c r="G55" s="34"/>
      <c r="H55" s="33"/>
    </row>
    <row r="56" spans="1:8" x14ac:dyDescent="0.15">
      <c r="A56" s="31" t="str">
        <f t="shared" si="5"/>
        <v>Mg</v>
      </c>
      <c r="B56" s="30">
        <f>E39</f>
        <v>0.18515450378820067</v>
      </c>
      <c r="C56" s="29"/>
      <c r="D56" s="29"/>
      <c r="E56" s="63" t="s">
        <v>38</v>
      </c>
      <c r="F56" s="59">
        <f>SUM(F49:F55)</f>
        <v>99.999999999999986</v>
      </c>
      <c r="G56" s="59">
        <f>SUM(G49:G55)</f>
        <v>100</v>
      </c>
      <c r="H56" s="50">
        <f>SUM(H49:H55)</f>
        <v>100</v>
      </c>
    </row>
    <row r="57" spans="1:8" x14ac:dyDescent="0.15">
      <c r="A57" s="31" t="str">
        <f t="shared" si="5"/>
        <v>Ca</v>
      </c>
      <c r="B57" s="30">
        <f>E40</f>
        <v>2.5438021832054094</v>
      </c>
      <c r="C57" s="29"/>
      <c r="D57" s="29"/>
      <c r="E57" s="60"/>
      <c r="F57" s="32"/>
      <c r="G57" s="32"/>
      <c r="H57" s="62"/>
    </row>
    <row r="58" spans="1:8" x14ac:dyDescent="0.15">
      <c r="A58" s="31"/>
      <c r="B58" s="30"/>
      <c r="C58" s="29"/>
      <c r="D58" s="29"/>
      <c r="E58" s="61" t="str">
        <f>IF(B59&lt;2.985,"Note: difficiency of cubic cations",IF(B59&gt;3.015,"Note: excess cubic cations"," "))</f>
        <v xml:space="preserve"> </v>
      </c>
      <c r="H58" s="5"/>
    </row>
    <row r="59" spans="1:8" x14ac:dyDescent="0.15">
      <c r="A59" s="31" t="s">
        <v>38</v>
      </c>
      <c r="B59" s="30">
        <f>SUM(B49:B57)</f>
        <v>3.0129253131383624</v>
      </c>
      <c r="C59" s="30">
        <f>SUM(C49:C57)</f>
        <v>1.9910216165547689</v>
      </c>
      <c r="D59" s="30">
        <f>SUM(D49:D57)</f>
        <v>2.9960530703068686</v>
      </c>
      <c r="E59" s="61" t="str">
        <f>IF(C59&lt;1.985,"Note: difficiency of octahedral cations",IF(C59&gt;2.015,"Note: excess octahedral cations"," "))</f>
        <v xml:space="preserve"> </v>
      </c>
      <c r="H59" s="33"/>
    </row>
    <row r="60" spans="1:8" x14ac:dyDescent="0.15">
      <c r="A60" s="6" t="s">
        <v>72</v>
      </c>
      <c r="B60" s="24">
        <v>3</v>
      </c>
      <c r="C60" s="24">
        <v>2</v>
      </c>
      <c r="D60" s="24">
        <v>3</v>
      </c>
      <c r="E60" s="64" t="str">
        <f>IF(D59&lt;2.985,"Note: difficiency of tetrahedral cations",IF(D59&gt;3.015,"Note: excess tetrahedral cations"," "))</f>
        <v xml:space="preserve"> </v>
      </c>
      <c r="F60" s="7"/>
      <c r="G60" s="59"/>
      <c r="H60" s="50"/>
    </row>
    <row r="61" spans="1:8" x14ac:dyDescent="0.15">
      <c r="E61" s="35"/>
    </row>
    <row r="62" spans="1:8" x14ac:dyDescent="0.15">
      <c r="E62" s="35"/>
    </row>
  </sheetData>
  <phoneticPr fontId="2" type="noConversion"/>
  <pageMargins left="0.75" right="0.75" top="1" bottom="1" header="0.5" footer="0.5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8C6C-9173-4C4E-97E6-1031D5482C50}">
  <dimension ref="A1:L43"/>
  <sheetViews>
    <sheetView topLeftCell="A9" workbookViewId="0">
      <selection activeCell="M36" sqref="M36"/>
    </sheetView>
  </sheetViews>
  <sheetFormatPr baseColWidth="10" defaultColWidth="8.83203125" defaultRowHeight="13" x14ac:dyDescent="0.15"/>
  <sheetData>
    <row r="1" spans="1:12" x14ac:dyDescent="0.15">
      <c r="A1" s="10" t="s">
        <v>51</v>
      </c>
    </row>
    <row r="3" spans="1:12" x14ac:dyDescent="0.15">
      <c r="A3" t="s">
        <v>52</v>
      </c>
    </row>
    <row r="4" spans="1:12" x14ac:dyDescent="0.15">
      <c r="A4" t="s">
        <v>95</v>
      </c>
    </row>
    <row r="5" spans="1:12" x14ac:dyDescent="0.15">
      <c r="A5" t="s">
        <v>96</v>
      </c>
    </row>
    <row r="6" spans="1:12" x14ac:dyDescent="0.15">
      <c r="A6" t="s">
        <v>86</v>
      </c>
    </row>
    <row r="8" spans="1:12" x14ac:dyDescent="0.15">
      <c r="A8" s="45" t="s">
        <v>90</v>
      </c>
      <c r="B8" s="1"/>
      <c r="C8" s="1"/>
      <c r="D8" s="1"/>
      <c r="E8" s="1"/>
      <c r="F8" s="1"/>
      <c r="G8" s="1"/>
      <c r="H8" s="2"/>
    </row>
    <row r="9" spans="1:12" x14ac:dyDescent="0.15">
      <c r="B9" s="25" t="s">
        <v>29</v>
      </c>
      <c r="C9" s="25" t="s">
        <v>30</v>
      </c>
      <c r="D9" s="25" t="s">
        <v>30</v>
      </c>
      <c r="E9" s="25" t="s">
        <v>31</v>
      </c>
      <c r="F9" s="25" t="s">
        <v>31</v>
      </c>
      <c r="G9" s="25" t="s">
        <v>32</v>
      </c>
      <c r="H9" s="43" t="s">
        <v>33</v>
      </c>
    </row>
    <row r="10" spans="1:12" x14ac:dyDescent="0.15">
      <c r="A10" t="s">
        <v>0</v>
      </c>
      <c r="B10" s="25" t="s">
        <v>34</v>
      </c>
      <c r="C10" s="25" t="s">
        <v>35</v>
      </c>
      <c r="D10" s="25" t="s">
        <v>36</v>
      </c>
      <c r="E10" s="25" t="s">
        <v>35</v>
      </c>
      <c r="F10" s="25" t="s">
        <v>36</v>
      </c>
      <c r="G10" s="25" t="s">
        <v>37</v>
      </c>
      <c r="H10" s="43" t="s">
        <v>36</v>
      </c>
      <c r="K10" s="54"/>
      <c r="L10" s="54"/>
    </row>
    <row r="11" spans="1:12" x14ac:dyDescent="0.15">
      <c r="A11" t="str">
        <f>'Periodic Table'!A4</f>
        <v>SiO2</v>
      </c>
      <c r="B11" s="18">
        <v>38.479999999999997</v>
      </c>
      <c r="C11" s="20">
        <f>'Periodic Table'!D4*B11/'Periodic Table'!B4</f>
        <v>0.64043352423178768</v>
      </c>
      <c r="D11" s="20">
        <f>'Periodic Table'!E4*B11/'Periodic Table'!B4</f>
        <v>1.2808670484635754</v>
      </c>
      <c r="E11" s="20">
        <f t="shared" ref="E11:E19" si="0">IF(B$15&gt;0,H$22*C11/D$21,G$22*C11/C$21)</f>
        <v>0.98838392494264637</v>
      </c>
      <c r="F11" s="20">
        <f>E11*'Periodic Table'!E4/'Periodic Table'!D4</f>
        <v>1.9767678498852927</v>
      </c>
      <c r="G11" s="20">
        <f t="shared" ref="G11:H13" si="1">E11</f>
        <v>0.98838392494264637</v>
      </c>
      <c r="H11" s="44">
        <f t="shared" si="1"/>
        <v>1.9767678498852927</v>
      </c>
      <c r="L11" s="55"/>
    </row>
    <row r="12" spans="1:12" x14ac:dyDescent="0.15">
      <c r="A12" t="str">
        <f>'Periodic Table'!A5</f>
        <v>TiO2</v>
      </c>
      <c r="B12" s="18">
        <v>0.01</v>
      </c>
      <c r="C12" s="20">
        <f>'Periodic Table'!D5*B12/'Periodic Table'!B5</f>
        <v>1.2515832528148108E-4</v>
      </c>
      <c r="D12" s="20">
        <f>'Periodic Table'!E5*B12/'Periodic Table'!B5</f>
        <v>2.5031665056296216E-4</v>
      </c>
      <c r="E12" s="20">
        <f t="shared" si="0"/>
        <v>1.9315740369672964E-4</v>
      </c>
      <c r="F12" s="20">
        <f>E12*'Periodic Table'!E5/'Periodic Table'!D5</f>
        <v>3.8631480739345929E-4</v>
      </c>
      <c r="G12" s="20">
        <f t="shared" si="1"/>
        <v>1.9315740369672964E-4</v>
      </c>
      <c r="H12" s="44">
        <f t="shared" si="1"/>
        <v>3.8631480739345929E-4</v>
      </c>
      <c r="L12" s="55"/>
    </row>
    <row r="13" spans="1:12" x14ac:dyDescent="0.15">
      <c r="A13" t="str">
        <f>'Periodic Table'!A6</f>
        <v>Al2O3</v>
      </c>
      <c r="B13" s="18">
        <v>0.13</v>
      </c>
      <c r="C13" s="20">
        <f>'Periodic Table'!D6*B13/'Periodic Table'!B6</f>
        <v>2.5499876031371913E-3</v>
      </c>
      <c r="D13" s="20">
        <f>'Periodic Table'!E6*B13/'Periodic Table'!B6</f>
        <v>3.824981404705787E-3</v>
      </c>
      <c r="E13" s="20">
        <f t="shared" si="0"/>
        <v>3.9354072833196179E-3</v>
      </c>
      <c r="F13" s="20">
        <f>E13*'Periodic Table'!E6/'Periodic Table'!D6</f>
        <v>5.9031109249794269E-3</v>
      </c>
      <c r="G13" s="20">
        <f t="shared" si="1"/>
        <v>3.9354072833196179E-3</v>
      </c>
      <c r="H13" s="44">
        <f t="shared" si="1"/>
        <v>5.9031109249794269E-3</v>
      </c>
      <c r="L13" s="55"/>
    </row>
    <row r="14" spans="1:12" x14ac:dyDescent="0.15">
      <c r="A14" t="str">
        <f>'Periodic Table'!A8</f>
        <v>Cr2O3</v>
      </c>
      <c r="B14" s="18">
        <v>0</v>
      </c>
      <c r="C14" s="20">
        <f>'Periodic Table'!D8*B14/'Periodic Table'!B8</f>
        <v>0</v>
      </c>
      <c r="D14" s="20">
        <f>'Periodic Table'!E8*B14/'Periodic Table'!B8</f>
        <v>0</v>
      </c>
      <c r="E14" s="20">
        <f t="shared" si="0"/>
        <v>0</v>
      </c>
      <c r="F14" s="20">
        <f>E14*'Periodic Table'!E8/'Periodic Table'!D8</f>
        <v>0</v>
      </c>
      <c r="G14" s="20">
        <f>E14</f>
        <v>0</v>
      </c>
      <c r="H14" s="44">
        <f>F14</f>
        <v>0</v>
      </c>
      <c r="L14" s="55"/>
    </row>
    <row r="15" spans="1:12" x14ac:dyDescent="0.15">
      <c r="A15" s="3" t="str">
        <f>'Periodic Table'!A7</f>
        <v>Fe2O3</v>
      </c>
      <c r="B15" s="41">
        <v>0</v>
      </c>
      <c r="C15" s="20">
        <f>IF(B15&gt;0,'Periodic Table'!D7*B15/'Periodic Table'!B7,0)</f>
        <v>0</v>
      </c>
      <c r="D15" s="20">
        <f>IF(B15&gt;0,'Periodic Table'!E7*B15/'Periodic Table'!B7,0)</f>
        <v>0</v>
      </c>
      <c r="E15" s="20">
        <f t="shared" si="0"/>
        <v>0</v>
      </c>
      <c r="F15" s="20">
        <f>E15*'Periodic Table'!E7/'Periodic Table'!D7</f>
        <v>0</v>
      </c>
      <c r="G15" s="20">
        <f>IF(B15&gt;0,E15,IF((2*H22)-E24&gt;0,(2*H22)-E24,0))</f>
        <v>1.8910428023994008E-2</v>
      </c>
      <c r="H15" s="44">
        <f>'Periodic Table'!E7*G15/'Periodic Table'!D7</f>
        <v>2.8365642035991012E-2</v>
      </c>
      <c r="L15" s="51"/>
    </row>
    <row r="16" spans="1:12" x14ac:dyDescent="0.15">
      <c r="A16" t="str">
        <f>'Periodic Table'!A9</f>
        <v>FeO</v>
      </c>
      <c r="B16" s="18">
        <v>20.99</v>
      </c>
      <c r="C16" s="20">
        <f>'Periodic Table'!D9*B16/'Periodic Table'!B9</f>
        <v>0.29215103331551751</v>
      </c>
      <c r="D16" s="20">
        <f>'Periodic Table'!E9*B16/'Periodic Table'!B9</f>
        <v>0.29215103331551751</v>
      </c>
      <c r="E16" s="20">
        <f t="shared" si="0"/>
        <v>0.45087799757330171</v>
      </c>
      <c r="F16" s="20">
        <f>E16*'Periodic Table'!E9/'Periodic Table'!D9</f>
        <v>0.45087799757330171</v>
      </c>
      <c r="G16" s="20">
        <f>IF(B15&gt;0,E16,E16-G15)</f>
        <v>0.43196756954930771</v>
      </c>
      <c r="H16" s="44">
        <f>'Periodic Table'!E9*G16/'Periodic Table'!D9</f>
        <v>0.43196756954930771</v>
      </c>
      <c r="L16" s="51"/>
    </row>
    <row r="17" spans="1:12" x14ac:dyDescent="0.15">
      <c r="A17" t="str">
        <f>'Periodic Table'!A10</f>
        <v>MnO</v>
      </c>
      <c r="B17" s="18">
        <v>0.33</v>
      </c>
      <c r="C17" s="20">
        <f>'Periodic Table'!D10*B17/'Periodic Table'!B10</f>
        <v>4.6519889367244924E-3</v>
      </c>
      <c r="D17" s="20">
        <f>'Periodic Table'!E10*B17/'Periodic Table'!B10</f>
        <v>4.6519889367244924E-3</v>
      </c>
      <c r="E17" s="20">
        <f t="shared" si="0"/>
        <v>7.1794353513658614E-3</v>
      </c>
      <c r="F17" s="20">
        <f>E17*'Periodic Table'!E10/'Periodic Table'!D10</f>
        <v>7.1794353513658614E-3</v>
      </c>
      <c r="G17" s="20">
        <f t="shared" ref="G17:H19" si="2">E17</f>
        <v>7.1794353513658614E-3</v>
      </c>
      <c r="H17" s="44">
        <f t="shared" si="2"/>
        <v>7.1794353513658614E-3</v>
      </c>
      <c r="J17" s="52"/>
      <c r="L17" s="55"/>
    </row>
    <row r="18" spans="1:12" x14ac:dyDescent="0.15">
      <c r="A18" t="str">
        <f>'Periodic Table'!A11</f>
        <v>MgO</v>
      </c>
      <c r="B18" s="18">
        <v>40.450000000000003</v>
      </c>
      <c r="C18" s="20">
        <f>'Periodic Table'!D11*B18/'Periodic Table'!B11</f>
        <v>1.0036125088079715</v>
      </c>
      <c r="D18" s="20">
        <f>'Periodic Table'!E11*B18/'Periodic Table'!B11</f>
        <v>1.0036125088079715</v>
      </c>
      <c r="E18" s="20">
        <f t="shared" si="0"/>
        <v>1.5488796776637006</v>
      </c>
      <c r="F18" s="20">
        <f>E18*'Periodic Table'!E11/'Periodic Table'!D11</f>
        <v>1.5488796776637006</v>
      </c>
      <c r="G18" s="20">
        <f t="shared" si="2"/>
        <v>1.5488796776637006</v>
      </c>
      <c r="H18" s="44">
        <f t="shared" si="2"/>
        <v>1.5488796776637006</v>
      </c>
      <c r="J18" s="53"/>
      <c r="L18" s="55"/>
    </row>
    <row r="19" spans="1:12" x14ac:dyDescent="0.15">
      <c r="A19" t="str">
        <f>'Periodic Table'!A12</f>
        <v>CaO</v>
      </c>
      <c r="B19" s="18">
        <v>0.02</v>
      </c>
      <c r="C19" s="20">
        <f>'Periodic Table'!D12*B19/'Periodic Table'!B12</f>
        <v>3.5663719654632542E-4</v>
      </c>
      <c r="D19" s="20">
        <f>'Periodic Table'!E12*B19/'Periodic Table'!B12</f>
        <v>3.5663719654632542E-4</v>
      </c>
      <c r="E19" s="20">
        <f t="shared" si="0"/>
        <v>5.5039978196928872E-4</v>
      </c>
      <c r="F19" s="20">
        <f>E19*'Periodic Table'!E12/'Periodic Table'!D12</f>
        <v>5.5039978196928872E-4</v>
      </c>
      <c r="G19" s="20">
        <f t="shared" si="2"/>
        <v>5.5039978196928872E-4</v>
      </c>
      <c r="H19" s="44">
        <f t="shared" si="2"/>
        <v>5.5039978196928872E-4</v>
      </c>
      <c r="L19" s="55"/>
    </row>
    <row r="20" spans="1:12" x14ac:dyDescent="0.15">
      <c r="B20" s="18"/>
      <c r="C20" s="20"/>
      <c r="D20" s="20"/>
      <c r="E20" s="20"/>
      <c r="F20" s="20"/>
      <c r="G20" s="20"/>
      <c r="H20" s="44"/>
    </row>
    <row r="21" spans="1:12" x14ac:dyDescent="0.15">
      <c r="A21" t="s">
        <v>38</v>
      </c>
      <c r="B21" s="19">
        <f t="shared" ref="B21:H21" si="3">SUM(B11:B19)</f>
        <v>100.41</v>
      </c>
      <c r="C21" s="20">
        <f t="shared" si="3"/>
        <v>1.9438808384169661</v>
      </c>
      <c r="D21" s="20">
        <f t="shared" si="3"/>
        <v>2.5857145147756038</v>
      </c>
      <c r="E21" s="20">
        <f t="shared" si="3"/>
        <v>3.0000000000000004</v>
      </c>
      <c r="F21" s="20">
        <f t="shared" si="3"/>
        <v>3.9905447859880034</v>
      </c>
      <c r="G21" s="20">
        <f t="shared" si="3"/>
        <v>3.0000000000000004</v>
      </c>
      <c r="H21" s="44">
        <f t="shared" si="3"/>
        <v>4</v>
      </c>
      <c r="J21" s="52"/>
    </row>
    <row r="22" spans="1:12" x14ac:dyDescent="0.15">
      <c r="A22" t="s">
        <v>72</v>
      </c>
      <c r="G22" s="20">
        <v>3</v>
      </c>
      <c r="H22" s="44">
        <v>4</v>
      </c>
    </row>
    <row r="23" spans="1:12" x14ac:dyDescent="0.15">
      <c r="E23" s="56" t="str">
        <f>IF(G24&lt;7.985,"Note: insufficient cation charge",IF(G24&gt;8.015,"Note: too much cation charge"," "))</f>
        <v xml:space="preserve"> </v>
      </c>
      <c r="G23" s="25"/>
      <c r="H23" s="5"/>
    </row>
    <row r="24" spans="1:12" x14ac:dyDescent="0.15">
      <c r="A24" s="7" t="s">
        <v>101</v>
      </c>
      <c r="B24" s="7"/>
      <c r="C24" s="42">
        <f>4*(C11+C12)+3*(C13+C15+C14)+2*(C16+C17+C18+C19)</f>
        <v>5.1714290295512075</v>
      </c>
      <c r="D24" s="42">
        <f>2*SUM(D11:D19)*(-1)</f>
        <v>-5.1714290295512075</v>
      </c>
      <c r="E24" s="42">
        <f>4*(E11+E12)+3*(E13+E15+E14)+2*(E16+E17+E18+E19)</f>
        <v>7.981089571976006</v>
      </c>
      <c r="F24" s="42">
        <f>2*SUM(F11:F19)*(-1)</f>
        <v>-7.9810895719760069</v>
      </c>
      <c r="G24" s="42">
        <f>4*(G11+G12)+3*(G13+G15+G14)+2*(G16+G17+G18+G19)</f>
        <v>8</v>
      </c>
      <c r="H24" s="42">
        <f>2*SUM(H11:H19)*(-1)</f>
        <v>-8</v>
      </c>
    </row>
    <row r="26" spans="1:12" x14ac:dyDescent="0.15">
      <c r="A26" t="s">
        <v>39</v>
      </c>
    </row>
    <row r="27" spans="1:12" x14ac:dyDescent="0.15">
      <c r="A27" t="s">
        <v>63</v>
      </c>
    </row>
    <row r="28" spans="1:12" x14ac:dyDescent="0.15">
      <c r="A28" t="s">
        <v>115</v>
      </c>
    </row>
    <row r="30" spans="1:12" x14ac:dyDescent="0.15">
      <c r="A30" s="9" t="s">
        <v>40</v>
      </c>
      <c r="B30" s="1"/>
      <c r="C30" s="1"/>
      <c r="D30" s="1"/>
      <c r="E30" s="1"/>
      <c r="F30" s="1"/>
      <c r="G30" s="1"/>
      <c r="H30" s="2"/>
    </row>
    <row r="31" spans="1:12" x14ac:dyDescent="0.15">
      <c r="A31" s="3"/>
      <c r="B31" s="4"/>
      <c r="C31" s="4"/>
      <c r="D31" s="4"/>
      <c r="E31" s="4"/>
      <c r="F31" s="4"/>
      <c r="G31" s="12" t="s">
        <v>41</v>
      </c>
      <c r="H31" s="13" t="s">
        <v>30</v>
      </c>
    </row>
    <row r="32" spans="1:12" x14ac:dyDescent="0.15">
      <c r="A32" s="6" t="s">
        <v>0</v>
      </c>
      <c r="B32" s="22" t="s">
        <v>34</v>
      </c>
      <c r="C32" s="4"/>
      <c r="D32" s="14" t="s">
        <v>35</v>
      </c>
      <c r="E32" s="14" t="s">
        <v>42</v>
      </c>
      <c r="F32" s="4"/>
      <c r="G32" s="14" t="s">
        <v>43</v>
      </c>
      <c r="H32" s="15" t="s">
        <v>85</v>
      </c>
    </row>
    <row r="33" spans="1:10" x14ac:dyDescent="0.15">
      <c r="A33" t="str">
        <f>'Periodic Table'!A4</f>
        <v>SiO2</v>
      </c>
      <c r="B33" s="16">
        <f>B11</f>
        <v>38.479999999999997</v>
      </c>
      <c r="C33" s="4"/>
      <c r="D33" s="12" t="str">
        <f>'Periodic Table'!C4</f>
        <v>Si</v>
      </c>
      <c r="E33" s="23">
        <f t="shared" ref="E33:E41" si="4">G11</f>
        <v>0.98838392494264637</v>
      </c>
      <c r="F33" s="4"/>
      <c r="G33" s="12" t="s">
        <v>53</v>
      </c>
      <c r="H33" s="21">
        <f>100*E39/(E$39+E$40+E$38+E$37+E$41)</f>
        <v>0.35763287762828533</v>
      </c>
    </row>
    <row r="34" spans="1:10" x14ac:dyDescent="0.15">
      <c r="A34" t="str">
        <f>'Periodic Table'!A5</f>
        <v>TiO2</v>
      </c>
      <c r="B34" s="16">
        <f>B12</f>
        <v>0.01</v>
      </c>
      <c r="C34" s="4"/>
      <c r="D34" s="12" t="str">
        <f>'Periodic Table'!C5</f>
        <v>Ti</v>
      </c>
      <c r="E34" s="23">
        <f t="shared" si="4"/>
        <v>1.9315740369672964E-4</v>
      </c>
      <c r="F34" s="4"/>
      <c r="G34" s="12" t="s">
        <v>54</v>
      </c>
      <c r="H34" s="21">
        <f>100*E40/(E$39+E$40+E$38+E$37+E$41)</f>
        <v>77.155133950395836</v>
      </c>
    </row>
    <row r="35" spans="1:10" x14ac:dyDescent="0.15">
      <c r="A35" t="str">
        <f>'Periodic Table'!A6</f>
        <v>Al2O3</v>
      </c>
      <c r="B35" s="16">
        <f>B13</f>
        <v>0.13</v>
      </c>
      <c r="C35" s="4"/>
      <c r="D35" s="12" t="str">
        <f>'Periodic Table'!C6</f>
        <v>Al</v>
      </c>
      <c r="E35" s="23">
        <f t="shared" si="4"/>
        <v>3.9354072833196179E-3</v>
      </c>
      <c r="F35" s="4"/>
      <c r="G35" s="12" t="s">
        <v>55</v>
      </c>
      <c r="H35" s="21">
        <f>100*(E38+E37)/(E$39+E$40+E$38+E$37+E$41)</f>
        <v>22.459815826705917</v>
      </c>
      <c r="J35" s="51"/>
    </row>
    <row r="36" spans="1:10" x14ac:dyDescent="0.15">
      <c r="A36" t="str">
        <f>'Periodic Table'!A8</f>
        <v>Cr2O3</v>
      </c>
      <c r="B36" s="16">
        <f>B14</f>
        <v>0</v>
      </c>
      <c r="C36" s="4"/>
      <c r="D36" s="12" t="str">
        <f>'Periodic Table'!C8</f>
        <v>Cr</v>
      </c>
      <c r="E36" s="23">
        <f t="shared" si="4"/>
        <v>0</v>
      </c>
      <c r="F36" s="4"/>
      <c r="G36" s="12" t="s">
        <v>56</v>
      </c>
      <c r="H36" s="21">
        <f>100*E41/(E$39+E$40+E$38+E$37+E$41)</f>
        <v>2.7417345269946509E-2</v>
      </c>
    </row>
    <row r="37" spans="1:10" x14ac:dyDescent="0.15">
      <c r="A37" t="str">
        <f>'Periodic Table'!A7</f>
        <v>Fe2O3</v>
      </c>
      <c r="B37" s="19">
        <f>IF(B15&gt;0,B15,('Periodic Table'!B7/(2*'Periodic Table'!B9))*B16*G15/(G15+G16))</f>
        <v>0.97837072975107919</v>
      </c>
      <c r="C37" s="4"/>
      <c r="D37" s="12" t="str">
        <f>'Periodic Table'!C7</f>
        <v>Fe3</v>
      </c>
      <c r="E37" s="23">
        <f t="shared" si="4"/>
        <v>1.8910428023994008E-2</v>
      </c>
      <c r="F37" s="4"/>
      <c r="G37" s="4"/>
      <c r="H37" s="5"/>
    </row>
    <row r="38" spans="1:10" x14ac:dyDescent="0.15">
      <c r="A38" t="str">
        <f>'Periodic Table'!A9</f>
        <v>FeO</v>
      </c>
      <c r="B38" s="19">
        <f>IF(B15&gt;0,B16,B16*G16/(G16+G15))</f>
        <v>20.109651244105997</v>
      </c>
      <c r="C38" s="4"/>
      <c r="D38" s="12" t="str">
        <f>'Periodic Table'!C9</f>
        <v>Fe2</v>
      </c>
      <c r="E38" s="23">
        <f t="shared" si="4"/>
        <v>0.43196756954930771</v>
      </c>
      <c r="F38" s="4"/>
      <c r="G38" s="37" t="s">
        <v>81</v>
      </c>
      <c r="H38" s="38">
        <f>SUM(H33:H36)</f>
        <v>100</v>
      </c>
    </row>
    <row r="39" spans="1:10" x14ac:dyDescent="0.15">
      <c r="A39" t="str">
        <f>'Periodic Table'!A10</f>
        <v>MnO</v>
      </c>
      <c r="B39" s="16">
        <f>B17</f>
        <v>0.33</v>
      </c>
      <c r="C39" s="4"/>
      <c r="D39" s="12" t="str">
        <f>'Periodic Table'!C10</f>
        <v>Mn</v>
      </c>
      <c r="E39" s="23">
        <f t="shared" si="4"/>
        <v>7.1794353513658614E-3</v>
      </c>
      <c r="F39" s="4"/>
      <c r="G39" s="4"/>
      <c r="H39" s="5"/>
    </row>
    <row r="40" spans="1:10" x14ac:dyDescent="0.15">
      <c r="A40" t="str">
        <f>'Periodic Table'!A11</f>
        <v>MgO</v>
      </c>
      <c r="B40" s="16">
        <f>B18</f>
        <v>40.450000000000003</v>
      </c>
      <c r="C40" s="4"/>
      <c r="D40" s="12" t="str">
        <f>'Periodic Table'!C11</f>
        <v>Mg</v>
      </c>
      <c r="E40" s="23">
        <f t="shared" si="4"/>
        <v>1.5488796776637006</v>
      </c>
      <c r="F40" s="4"/>
      <c r="G40" s="47"/>
      <c r="H40" s="5"/>
    </row>
    <row r="41" spans="1:10" x14ac:dyDescent="0.15">
      <c r="A41" t="str">
        <f>'Periodic Table'!A12</f>
        <v>CaO</v>
      </c>
      <c r="B41" s="16">
        <f>B19</f>
        <v>0.02</v>
      </c>
      <c r="C41" s="4"/>
      <c r="D41" s="12" t="str">
        <f>'Periodic Table'!C12</f>
        <v>Ca</v>
      </c>
      <c r="E41" s="23">
        <f t="shared" si="4"/>
        <v>5.5039978196928872E-4</v>
      </c>
      <c r="F41" s="4"/>
      <c r="G41" s="4"/>
      <c r="H41" s="5"/>
    </row>
    <row r="42" spans="1:10" x14ac:dyDescent="0.15">
      <c r="B42" s="16"/>
      <c r="C42" s="4"/>
      <c r="D42" s="12" t="s">
        <v>45</v>
      </c>
      <c r="E42" s="23">
        <f>G21</f>
        <v>3.0000000000000004</v>
      </c>
      <c r="F42" s="56" t="str">
        <f>IF(E33&lt;0.985,"Note: Si difficiency",IF(E33&gt;1.015,"Note: Si excess"," "))</f>
        <v xml:space="preserve"> </v>
      </c>
      <c r="H42" s="5"/>
    </row>
    <row r="43" spans="1:10" x14ac:dyDescent="0.15">
      <c r="A43" s="6" t="s">
        <v>38</v>
      </c>
      <c r="B43" s="17">
        <f>SUM(B33:B41)</f>
        <v>100.50802197385707</v>
      </c>
      <c r="C43" s="7"/>
      <c r="D43" s="14" t="s">
        <v>46</v>
      </c>
      <c r="E43" s="24">
        <f>H21</f>
        <v>4</v>
      </c>
      <c r="F43" s="7"/>
      <c r="G43" s="7"/>
      <c r="H43" s="8"/>
    </row>
  </sheetData>
  <phoneticPr fontId="2" type="noConversion"/>
  <pageMargins left="0.75" right="0.75" top="1" bottom="1" header="0.5" footer="0.5"/>
  <pageSetup orientation="portrait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8024-08B2-B344-B8EE-DFBF221A64CA}">
  <dimension ref="A1:H40"/>
  <sheetViews>
    <sheetView workbookViewId="0">
      <selection activeCell="H15" sqref="H15"/>
    </sheetView>
  </sheetViews>
  <sheetFormatPr baseColWidth="10" defaultColWidth="8.83203125" defaultRowHeight="13" x14ac:dyDescent="0.15"/>
  <sheetData>
    <row r="1" spans="1:8" x14ac:dyDescent="0.15">
      <c r="A1" s="10" t="s">
        <v>47</v>
      </c>
    </row>
    <row r="3" spans="1:8" x14ac:dyDescent="0.15">
      <c r="A3" t="s">
        <v>48</v>
      </c>
    </row>
    <row r="4" spans="1:8" x14ac:dyDescent="0.15">
      <c r="A4" t="s">
        <v>95</v>
      </c>
    </row>
    <row r="5" spans="1:8" x14ac:dyDescent="0.15">
      <c r="A5" t="s">
        <v>96</v>
      </c>
    </row>
    <row r="6" spans="1:8" x14ac:dyDescent="0.15">
      <c r="A6" t="s">
        <v>86</v>
      </c>
    </row>
    <row r="8" spans="1:8" x14ac:dyDescent="0.15">
      <c r="A8" s="45" t="s">
        <v>90</v>
      </c>
      <c r="B8" s="1"/>
      <c r="C8" s="1"/>
      <c r="D8" s="1"/>
      <c r="E8" s="1"/>
      <c r="F8" s="1"/>
      <c r="G8" s="1"/>
      <c r="H8" s="2"/>
    </row>
    <row r="9" spans="1:8" x14ac:dyDescent="0.15">
      <c r="B9" s="25" t="s">
        <v>29</v>
      </c>
      <c r="C9" s="25" t="s">
        <v>30</v>
      </c>
      <c r="D9" s="25" t="s">
        <v>30</v>
      </c>
      <c r="E9" s="25" t="s">
        <v>31</v>
      </c>
      <c r="F9" s="25" t="s">
        <v>31</v>
      </c>
      <c r="G9" s="25" t="s">
        <v>32</v>
      </c>
      <c r="H9" s="43" t="s">
        <v>33</v>
      </c>
    </row>
    <row r="10" spans="1:8" x14ac:dyDescent="0.15">
      <c r="A10" t="s">
        <v>0</v>
      </c>
      <c r="B10" s="25" t="s">
        <v>34</v>
      </c>
      <c r="C10" s="25" t="s">
        <v>35</v>
      </c>
      <c r="D10" s="25" t="s">
        <v>36</v>
      </c>
      <c r="E10" s="25" t="s">
        <v>35</v>
      </c>
      <c r="F10" s="25" t="s">
        <v>36</v>
      </c>
      <c r="G10" s="25" t="s">
        <v>37</v>
      </c>
      <c r="H10" s="43" t="s">
        <v>36</v>
      </c>
    </row>
    <row r="11" spans="1:8" x14ac:dyDescent="0.15">
      <c r="A11" t="str">
        <f>'Periodic Table'!A4</f>
        <v>SiO2</v>
      </c>
      <c r="B11" s="18">
        <v>0</v>
      </c>
      <c r="C11" s="20">
        <f>'Periodic Table'!D4*B11/'Periodic Table'!B4</f>
        <v>0</v>
      </c>
      <c r="D11" s="20">
        <f>'Periodic Table'!E4*B11/'Periodic Table'!B4</f>
        <v>0</v>
      </c>
      <c r="E11" s="20">
        <f t="shared" ref="E11:E18" si="0">IF(B$15&gt;0,H$21*C11/D$20,G$21*C11/C$20)</f>
        <v>0</v>
      </c>
      <c r="F11" s="20">
        <f>E11*'Periodic Table'!E4/'Periodic Table'!D4</f>
        <v>0</v>
      </c>
      <c r="G11" s="20">
        <f t="shared" ref="G11:H13" si="1">E11</f>
        <v>0</v>
      </c>
      <c r="H11" s="44">
        <f t="shared" si="1"/>
        <v>0</v>
      </c>
    </row>
    <row r="12" spans="1:8" x14ac:dyDescent="0.15">
      <c r="A12" t="str">
        <f>'Periodic Table'!A5</f>
        <v>TiO2</v>
      </c>
      <c r="B12" s="18">
        <v>0.13</v>
      </c>
      <c r="C12" s="20">
        <f>'Periodic Table'!D5*B12/'Periodic Table'!B5</f>
        <v>1.6270582286592541E-3</v>
      </c>
      <c r="D12" s="20">
        <f>'Periodic Table'!E5*B12/'Periodic Table'!B5</f>
        <v>3.2541164573185082E-3</v>
      </c>
      <c r="E12" s="20">
        <f t="shared" si="0"/>
        <v>2.4365197572067268E-3</v>
      </c>
      <c r="F12" s="20">
        <f>E12*'Periodic Table'!E5/'Periodic Table'!D5</f>
        <v>4.8730395144134537E-3</v>
      </c>
      <c r="G12" s="20">
        <f t="shared" si="1"/>
        <v>2.4365197572067268E-3</v>
      </c>
      <c r="H12" s="44">
        <f t="shared" si="1"/>
        <v>4.8730395144134537E-3</v>
      </c>
    </row>
    <row r="13" spans="1:8" x14ac:dyDescent="0.15">
      <c r="A13" t="str">
        <f>'Periodic Table'!A6</f>
        <v>Al2O3</v>
      </c>
      <c r="B13" s="18">
        <v>65.400000000000006</v>
      </c>
      <c r="C13" s="20">
        <f>'Periodic Table'!D6*B13/'Periodic Table'!B6</f>
        <v>1.2828399172705562</v>
      </c>
      <c r="D13" s="20">
        <f>'Periodic Table'!E6*B13/'Periodic Table'!B6</f>
        <v>1.9242598759058345</v>
      </c>
      <c r="E13" s="20">
        <f t="shared" si="0"/>
        <v>1.9210528232531643</v>
      </c>
      <c r="F13" s="20">
        <f>E13*'Periodic Table'!E6/'Periodic Table'!D6</f>
        <v>2.8815792348797462</v>
      </c>
      <c r="G13" s="20">
        <f t="shared" si="1"/>
        <v>1.9210528232531643</v>
      </c>
      <c r="H13" s="44">
        <f t="shared" si="1"/>
        <v>2.8815792348797462</v>
      </c>
    </row>
    <row r="14" spans="1:8" x14ac:dyDescent="0.15">
      <c r="A14" t="str">
        <f>'Periodic Table'!A8</f>
        <v>Cr2O3</v>
      </c>
      <c r="B14" s="18">
        <v>0</v>
      </c>
      <c r="C14" s="20">
        <f>'Periodic Table'!D8*B14/'Periodic Table'!B8</f>
        <v>0</v>
      </c>
      <c r="D14" s="20">
        <f>'Periodic Table'!E8*B14/'Periodic Table'!B8</f>
        <v>0</v>
      </c>
      <c r="E14" s="20">
        <f t="shared" si="0"/>
        <v>0</v>
      </c>
      <c r="F14" s="20">
        <f>E14*'Periodic Table'!E8/'Periodic Table'!D8</f>
        <v>0</v>
      </c>
      <c r="G14" s="20">
        <f>E14</f>
        <v>0</v>
      </c>
      <c r="H14" s="44">
        <f>F14</f>
        <v>0</v>
      </c>
    </row>
    <row r="15" spans="1:8" x14ac:dyDescent="0.15">
      <c r="A15" t="str">
        <f>'Periodic Table'!A7</f>
        <v>Fe2O3</v>
      </c>
      <c r="B15" s="41">
        <v>0</v>
      </c>
      <c r="C15" s="20">
        <f>IF(B15&gt;0,'Periodic Table'!D7*B15/'Periodic Table'!B7,0)</f>
        <v>0</v>
      </c>
      <c r="D15" s="20">
        <f>IF(B15&gt;0,'Periodic Table'!E7*B15/'Periodic Table'!B7,0)</f>
        <v>0</v>
      </c>
      <c r="E15" s="20">
        <f t="shared" si="0"/>
        <v>0</v>
      </c>
      <c r="F15" s="20">
        <f>E15*'Periodic Table'!E7/'Periodic Table'!D7</f>
        <v>0</v>
      </c>
      <c r="G15" s="20">
        <f>IF(B15&gt;0,E15,IF((2*H21)-E23&gt;0,(2*H21)-E23,0))</f>
        <v>7.4074137232422288E-2</v>
      </c>
      <c r="H15" s="44">
        <f>'Periodic Table'!E7*G15/'Periodic Table'!D7</f>
        <v>0.11111120584863343</v>
      </c>
    </row>
    <row r="16" spans="1:8" x14ac:dyDescent="0.15">
      <c r="A16" t="str">
        <f>'Periodic Table'!A9</f>
        <v>FeO</v>
      </c>
      <c r="B16" s="18">
        <v>11.92</v>
      </c>
      <c r="C16" s="20">
        <f>'Periodic Table'!D9*B16/'Periodic Table'!B9</f>
        <v>0.16590949581329056</v>
      </c>
      <c r="D16" s="20">
        <f>'Periodic Table'!E9*B16/'Periodic Table'!B9</f>
        <v>0.16590949581329056</v>
      </c>
      <c r="E16" s="20">
        <f t="shared" si="0"/>
        <v>0.24844947607707729</v>
      </c>
      <c r="F16" s="20">
        <f>E16*'Periodic Table'!E9/'Periodic Table'!D9</f>
        <v>0.24844947607707729</v>
      </c>
      <c r="G16" s="20">
        <f>IF(B15&gt;0,E16,E16-G15)</f>
        <v>0.174375338844655</v>
      </c>
      <c r="H16" s="44">
        <f>'Periodic Table'!E9*G16/'Periodic Table'!D9</f>
        <v>0.174375338844655</v>
      </c>
    </row>
    <row r="17" spans="1:8" x14ac:dyDescent="0.15">
      <c r="A17" t="str">
        <f>'Periodic Table'!A10</f>
        <v>MnO</v>
      </c>
      <c r="B17" s="18">
        <v>0.1</v>
      </c>
      <c r="C17" s="20">
        <f>'Periodic Table'!D10*B17/'Periodic Table'!B10</f>
        <v>1.4096936171892403E-3</v>
      </c>
      <c r="D17" s="20">
        <f>'Periodic Table'!E10*B17/'Periodic Table'!B10</f>
        <v>1.4096936171892403E-3</v>
      </c>
      <c r="E17" s="20">
        <f t="shared" si="0"/>
        <v>2.1110162435428854E-3</v>
      </c>
      <c r="F17" s="20">
        <f>E17*'Periodic Table'!E10/'Periodic Table'!D10</f>
        <v>2.1110162435428854E-3</v>
      </c>
      <c r="G17" s="20">
        <f>E17</f>
        <v>2.1110162435428854E-3</v>
      </c>
      <c r="H17" s="44">
        <f>F17</f>
        <v>2.1110162435428854E-3</v>
      </c>
    </row>
    <row r="18" spans="1:8" x14ac:dyDescent="0.15">
      <c r="A18" t="str">
        <f>'Periodic Table'!A11</f>
        <v>MgO</v>
      </c>
      <c r="B18" s="18">
        <v>22.23</v>
      </c>
      <c r="C18" s="20">
        <f>'Periodic Table'!D11*B18/'Periodic Table'!B11</f>
        <v>0.55155268407419533</v>
      </c>
      <c r="D18" s="20">
        <f>'Periodic Table'!E11*B18/'Periodic Table'!B11</f>
        <v>0.55155268407419533</v>
      </c>
      <c r="E18" s="20">
        <f t="shared" si="0"/>
        <v>0.82595016466900884</v>
      </c>
      <c r="F18" s="20">
        <f>E18*'Periodic Table'!E11/'Periodic Table'!D11</f>
        <v>0.82595016466900884</v>
      </c>
      <c r="G18" s="20">
        <f>E18</f>
        <v>0.82595016466900884</v>
      </c>
      <c r="H18" s="44">
        <f>F18</f>
        <v>0.82595016466900884</v>
      </c>
    </row>
    <row r="19" spans="1:8" x14ac:dyDescent="0.15">
      <c r="B19" s="19"/>
      <c r="C19" s="20"/>
      <c r="D19" s="20"/>
      <c r="E19" s="20"/>
      <c r="F19" s="20"/>
      <c r="G19" s="20"/>
      <c r="H19" s="44"/>
    </row>
    <row r="20" spans="1:8" x14ac:dyDescent="0.15">
      <c r="A20" t="s">
        <v>38</v>
      </c>
      <c r="B20">
        <f t="shared" ref="B20:H20" si="2">SUM(B11:B18)</f>
        <v>99.78</v>
      </c>
      <c r="C20" s="20">
        <f t="shared" si="2"/>
        <v>2.0033388490038906</v>
      </c>
      <c r="D20" s="20">
        <f t="shared" si="2"/>
        <v>2.6463858658678285</v>
      </c>
      <c r="E20" s="20">
        <f t="shared" si="2"/>
        <v>3</v>
      </c>
      <c r="F20" s="20">
        <f t="shared" si="2"/>
        <v>3.9629629313837884</v>
      </c>
      <c r="G20" s="20">
        <f t="shared" si="2"/>
        <v>3</v>
      </c>
      <c r="H20" s="44">
        <f t="shared" si="2"/>
        <v>3.9999999999999996</v>
      </c>
    </row>
    <row r="21" spans="1:8" x14ac:dyDescent="0.15">
      <c r="A21" t="s">
        <v>114</v>
      </c>
      <c r="G21" s="20">
        <v>3</v>
      </c>
      <c r="H21" s="44">
        <v>4</v>
      </c>
    </row>
    <row r="22" spans="1:8" x14ac:dyDescent="0.15">
      <c r="E22" s="56" t="str">
        <f>IF(G23&lt;7.985,"Note: insufficient cation charge",IF(G23&gt;8.015,"Note: too much cation charge"," "))</f>
        <v xml:space="preserve"> </v>
      </c>
      <c r="H22" s="5"/>
    </row>
    <row r="23" spans="1:8" x14ac:dyDescent="0.15">
      <c r="A23" s="7" t="s">
        <v>101</v>
      </c>
      <c r="B23" s="7"/>
      <c r="C23" s="42">
        <f>4*(C11+C12)+3*(C13+C15+C14)+2*(C16+C17+C18)</f>
        <v>5.2927717317356553</v>
      </c>
      <c r="D23" s="42">
        <f>2*SUM(D11:D18)*-1</f>
        <v>-5.2927717317356571</v>
      </c>
      <c r="E23" s="42">
        <f>4*(E11+E12)+3*(E13+E15+E14)+2*(E16+E17+E18)</f>
        <v>7.9259258627675777</v>
      </c>
      <c r="F23" s="42">
        <f>2*SUM(F11:F18)*-1</f>
        <v>-7.9259258627675768</v>
      </c>
      <c r="G23" s="42">
        <f>4*(G11+G12)+3*(G13+G15+G14)+2*(G16+G17+G18)</f>
        <v>8</v>
      </c>
      <c r="H23" s="58">
        <f>2*SUM(H11:H18)*-1</f>
        <v>-7.9999999999999991</v>
      </c>
    </row>
    <row r="24" spans="1:8" x14ac:dyDescent="0.15">
      <c r="E24" s="25"/>
      <c r="G24" s="25"/>
    </row>
    <row r="25" spans="1:8" x14ac:dyDescent="0.15">
      <c r="A25" t="s">
        <v>49</v>
      </c>
    </row>
    <row r="26" spans="1:8" x14ac:dyDescent="0.15">
      <c r="A26" t="s">
        <v>50</v>
      </c>
    </row>
    <row r="28" spans="1:8" x14ac:dyDescent="0.15">
      <c r="A28" s="9" t="s">
        <v>40</v>
      </c>
      <c r="B28" s="1"/>
      <c r="C28" s="1"/>
      <c r="D28" s="1"/>
      <c r="E28" s="2"/>
    </row>
    <row r="29" spans="1:8" x14ac:dyDescent="0.15">
      <c r="A29" s="3"/>
      <c r="B29" s="4"/>
      <c r="C29" s="4"/>
      <c r="D29" s="4"/>
      <c r="E29" s="21"/>
    </row>
    <row r="30" spans="1:8" x14ac:dyDescent="0.15">
      <c r="A30" s="6" t="s">
        <v>0</v>
      </c>
      <c r="B30" s="22" t="s">
        <v>34</v>
      </c>
      <c r="C30" s="4"/>
      <c r="D30" s="14" t="s">
        <v>35</v>
      </c>
      <c r="E30" s="15" t="s">
        <v>42</v>
      </c>
    </row>
    <row r="31" spans="1:8" x14ac:dyDescent="0.15">
      <c r="A31" t="str">
        <f>'Periodic Table'!A4</f>
        <v>SiO2</v>
      </c>
      <c r="B31" s="16">
        <f>B11</f>
        <v>0</v>
      </c>
      <c r="C31" s="4"/>
      <c r="D31" s="12" t="str">
        <f>'Periodic Table'!C4</f>
        <v>Si</v>
      </c>
      <c r="E31" s="27">
        <f t="shared" ref="E31:E38" si="3">G11</f>
        <v>0</v>
      </c>
    </row>
    <row r="32" spans="1:8" x14ac:dyDescent="0.15">
      <c r="A32" t="str">
        <f>'Periodic Table'!A5</f>
        <v>TiO2</v>
      </c>
      <c r="B32" s="16">
        <f>B12</f>
        <v>0.13</v>
      </c>
      <c r="C32" s="4"/>
      <c r="D32" s="12" t="str">
        <f>'Periodic Table'!C5</f>
        <v>Ti</v>
      </c>
      <c r="E32" s="27">
        <f t="shared" si="3"/>
        <v>2.4365197572067268E-3</v>
      </c>
    </row>
    <row r="33" spans="1:5" x14ac:dyDescent="0.15">
      <c r="A33" t="str">
        <f>'Periodic Table'!A6</f>
        <v>Al2O3</v>
      </c>
      <c r="B33" s="16">
        <f>B13</f>
        <v>65.400000000000006</v>
      </c>
      <c r="C33" s="4"/>
      <c r="D33" s="12" t="str">
        <f>'Periodic Table'!C6</f>
        <v>Al</v>
      </c>
      <c r="E33" s="27">
        <f t="shared" si="3"/>
        <v>1.9210528232531643</v>
      </c>
    </row>
    <row r="34" spans="1:5" x14ac:dyDescent="0.15">
      <c r="A34" t="str">
        <f>'Periodic Table'!A8</f>
        <v>Cr2O3</v>
      </c>
      <c r="B34" s="16">
        <f>B14</f>
        <v>0</v>
      </c>
      <c r="C34" s="4"/>
      <c r="D34" s="12" t="str">
        <f>'Periodic Table'!C8</f>
        <v>Cr</v>
      </c>
      <c r="E34" s="27">
        <f t="shared" si="3"/>
        <v>0</v>
      </c>
    </row>
    <row r="35" spans="1:5" x14ac:dyDescent="0.15">
      <c r="A35" t="str">
        <f>'Periodic Table'!A7</f>
        <v>Fe2O3</v>
      </c>
      <c r="B35" s="19">
        <f>('Periodic Table'!$D$6*$B$33/($E$33*'Periodic Table'!$B$6))*'Periodic Table'!$B7*$E35/'Periodic Table'!$D7</f>
        <v>3.9496032211937773</v>
      </c>
      <c r="C35" s="4"/>
      <c r="D35" s="12" t="str">
        <f>'Periodic Table'!C7</f>
        <v>Fe3</v>
      </c>
      <c r="E35" s="27">
        <f t="shared" si="3"/>
        <v>7.4074137232422288E-2</v>
      </c>
    </row>
    <row r="36" spans="1:5" x14ac:dyDescent="0.15">
      <c r="A36" t="str">
        <f>'Periodic Table'!A9</f>
        <v>FeO</v>
      </c>
      <c r="B36" s="19">
        <f>('Periodic Table'!$D$6*$B$33/($E$33*'Periodic Table'!$B$6))*'Periodic Table'!$B9*$E36/'Periodic Table'!$D9</f>
        <v>8.3661035307776253</v>
      </c>
      <c r="C36" s="4"/>
      <c r="D36" s="12" t="str">
        <f>'Periodic Table'!C9</f>
        <v>Fe2</v>
      </c>
      <c r="E36" s="27">
        <f t="shared" si="3"/>
        <v>0.174375338844655</v>
      </c>
    </row>
    <row r="37" spans="1:5" x14ac:dyDescent="0.15">
      <c r="A37" t="str">
        <f>'Periodic Table'!A10</f>
        <v>MnO</v>
      </c>
      <c r="B37" s="16">
        <f>B17</f>
        <v>0.1</v>
      </c>
      <c r="C37" s="4"/>
      <c r="D37" s="12" t="str">
        <f>'Periodic Table'!C10</f>
        <v>Mn</v>
      </c>
      <c r="E37" s="27">
        <f t="shared" si="3"/>
        <v>2.1110162435428854E-3</v>
      </c>
    </row>
    <row r="38" spans="1:5" x14ac:dyDescent="0.15">
      <c r="A38" t="str">
        <f>'Periodic Table'!A11</f>
        <v>MgO</v>
      </c>
      <c r="B38" s="16">
        <f>B18</f>
        <v>22.23</v>
      </c>
      <c r="C38" s="4"/>
      <c r="D38" s="12" t="str">
        <f>'Periodic Table'!C11</f>
        <v>Mg</v>
      </c>
      <c r="E38" s="27">
        <f t="shared" si="3"/>
        <v>0.82595016466900884</v>
      </c>
    </row>
    <row r="39" spans="1:5" x14ac:dyDescent="0.15">
      <c r="B39" s="16"/>
      <c r="C39" s="4"/>
      <c r="D39" s="12" t="s">
        <v>45</v>
      </c>
      <c r="E39" s="27">
        <f>G20</f>
        <v>3</v>
      </c>
    </row>
    <row r="40" spans="1:5" x14ac:dyDescent="0.15">
      <c r="A40" s="6" t="s">
        <v>38</v>
      </c>
      <c r="B40" s="17">
        <f>SUM(B31:B38)</f>
        <v>100.1757067519714</v>
      </c>
      <c r="C40" s="7"/>
      <c r="D40" s="14" t="s">
        <v>46</v>
      </c>
      <c r="E40" s="28">
        <f>H20</f>
        <v>3.9999999999999996</v>
      </c>
    </row>
  </sheetData>
  <phoneticPr fontId="2" type="noConversion"/>
  <pageMargins left="0.75" right="0.75" top="1" bottom="1" header="0.5" footer="0.5"/>
  <pageSetup orientation="portrait" horizontalDpi="0" verticalDpi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0EB6-A76B-CB44-A16F-A9E0D5D24A86}">
  <dimension ref="A3:F15"/>
  <sheetViews>
    <sheetView workbookViewId="0">
      <selection activeCell="G9" sqref="G9"/>
    </sheetView>
  </sheetViews>
  <sheetFormatPr baseColWidth="10" defaultColWidth="8.83203125" defaultRowHeight="13" x14ac:dyDescent="0.15"/>
  <sheetData>
    <row r="3" spans="1:6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121</v>
      </c>
    </row>
    <row r="4" spans="1:6" x14ac:dyDescent="0.15">
      <c r="A4" t="s">
        <v>5</v>
      </c>
      <c r="B4">
        <f>28.0855+2*15.9994</f>
        <v>60.084299999999999</v>
      </c>
      <c r="C4" t="s">
        <v>6</v>
      </c>
      <c r="D4">
        <v>1</v>
      </c>
      <c r="E4">
        <v>2</v>
      </c>
      <c r="F4">
        <v>28.0855</v>
      </c>
    </row>
    <row r="5" spans="1:6" x14ac:dyDescent="0.15">
      <c r="A5" t="s">
        <v>7</v>
      </c>
      <c r="B5">
        <f>47.9+2*15.9994</f>
        <v>79.898799999999994</v>
      </c>
      <c r="C5" t="s">
        <v>8</v>
      </c>
      <c r="D5">
        <v>1</v>
      </c>
      <c r="E5">
        <v>2</v>
      </c>
      <c r="F5">
        <v>47.9</v>
      </c>
    </row>
    <row r="6" spans="1:6" x14ac:dyDescent="0.15">
      <c r="A6" t="s">
        <v>9</v>
      </c>
      <c r="B6">
        <f>2*26.98154+3*15.9994</f>
        <v>101.96127999999999</v>
      </c>
      <c r="C6" t="s">
        <v>10</v>
      </c>
      <c r="D6">
        <v>2</v>
      </c>
      <c r="E6">
        <v>3</v>
      </c>
      <c r="F6">
        <v>26.981539999999999</v>
      </c>
    </row>
    <row r="7" spans="1:6" x14ac:dyDescent="0.15">
      <c r="A7" t="s">
        <v>11</v>
      </c>
      <c r="B7">
        <f>2*55.847+3*15.9994</f>
        <v>159.69220000000001</v>
      </c>
      <c r="C7" t="s">
        <v>12</v>
      </c>
      <c r="D7">
        <v>2</v>
      </c>
      <c r="E7">
        <v>3</v>
      </c>
      <c r="F7">
        <v>55.847000000000001</v>
      </c>
    </row>
    <row r="8" spans="1:6" x14ac:dyDescent="0.15">
      <c r="A8" t="s">
        <v>13</v>
      </c>
      <c r="B8">
        <f>2*51.996+3*15.9994</f>
        <v>151.99020000000002</v>
      </c>
      <c r="C8" t="s">
        <v>14</v>
      </c>
      <c r="D8">
        <v>2</v>
      </c>
      <c r="E8">
        <v>3</v>
      </c>
      <c r="F8">
        <v>51.996000000000002</v>
      </c>
    </row>
    <row r="9" spans="1:6" x14ac:dyDescent="0.15">
      <c r="A9" t="s">
        <v>15</v>
      </c>
      <c r="B9">
        <f>55.847+15.9994</f>
        <v>71.846400000000003</v>
      </c>
      <c r="C9" t="s">
        <v>16</v>
      </c>
      <c r="D9">
        <v>1</v>
      </c>
      <c r="E9">
        <v>1</v>
      </c>
      <c r="F9">
        <v>55.847000000000001</v>
      </c>
    </row>
    <row r="10" spans="1:6" x14ac:dyDescent="0.15">
      <c r="A10" t="s">
        <v>17</v>
      </c>
      <c r="B10">
        <f>54.938+15.9994</f>
        <v>70.937399999999997</v>
      </c>
      <c r="C10" t="s">
        <v>18</v>
      </c>
      <c r="D10">
        <v>1</v>
      </c>
      <c r="E10">
        <v>1</v>
      </c>
      <c r="F10">
        <v>54.938000000000002</v>
      </c>
    </row>
    <row r="11" spans="1:6" x14ac:dyDescent="0.15">
      <c r="A11" t="s">
        <v>19</v>
      </c>
      <c r="B11">
        <f>24.305+15.9994</f>
        <v>40.304400000000001</v>
      </c>
      <c r="C11" t="s">
        <v>20</v>
      </c>
      <c r="D11">
        <v>1</v>
      </c>
      <c r="E11">
        <v>1</v>
      </c>
      <c r="F11">
        <v>24.305</v>
      </c>
    </row>
    <row r="12" spans="1:6" x14ac:dyDescent="0.15">
      <c r="A12" t="s">
        <v>21</v>
      </c>
      <c r="B12">
        <f>40.08+15.9994</f>
        <v>56.0794</v>
      </c>
      <c r="C12" t="s">
        <v>22</v>
      </c>
      <c r="D12">
        <v>1</v>
      </c>
      <c r="E12">
        <v>1</v>
      </c>
      <c r="F12">
        <v>40.08</v>
      </c>
    </row>
    <row r="13" spans="1:6" x14ac:dyDescent="0.15">
      <c r="A13" t="s">
        <v>61</v>
      </c>
      <c r="B13">
        <v>153.32939999999999</v>
      </c>
      <c r="C13" t="s">
        <v>62</v>
      </c>
      <c r="D13">
        <v>1</v>
      </c>
      <c r="E13">
        <v>1</v>
      </c>
      <c r="F13">
        <v>137.77000000000001</v>
      </c>
    </row>
    <row r="14" spans="1:6" x14ac:dyDescent="0.15">
      <c r="A14" t="s">
        <v>23</v>
      </c>
      <c r="B14">
        <f>2*22.98977+15.9994</f>
        <v>61.978940000000001</v>
      </c>
      <c r="C14" t="s">
        <v>24</v>
      </c>
      <c r="D14">
        <v>2</v>
      </c>
      <c r="E14">
        <v>1</v>
      </c>
      <c r="F14">
        <v>22.98977</v>
      </c>
    </row>
    <row r="15" spans="1:6" x14ac:dyDescent="0.15">
      <c r="A15" t="s">
        <v>25</v>
      </c>
      <c r="B15">
        <f>2*39.0983+15.9994</f>
        <v>94.195999999999998</v>
      </c>
      <c r="C15" t="s">
        <v>26</v>
      </c>
      <c r="D15">
        <v>2</v>
      </c>
      <c r="E15">
        <v>1</v>
      </c>
      <c r="F15">
        <v>39.098300000000002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El wt% to oxide wt%</vt:lpstr>
      <vt:lpstr>Plagioclase</vt:lpstr>
      <vt:lpstr>Pyroxene</vt:lpstr>
      <vt:lpstr>Garnet</vt:lpstr>
      <vt:lpstr>Olivine</vt:lpstr>
      <vt:lpstr>Spinel</vt:lpstr>
      <vt:lpstr>Periodic Table</vt:lpstr>
    </vt:vector>
  </TitlesOfParts>
  <Company>u n dakota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 perkins</dc:creator>
  <cp:lastModifiedBy>Derrick Hasterok</cp:lastModifiedBy>
  <cp:lastPrinted>2008-03-22T20:57:46Z</cp:lastPrinted>
  <dcterms:created xsi:type="dcterms:W3CDTF">2007-04-08T23:43:43Z</dcterms:created>
  <dcterms:modified xsi:type="dcterms:W3CDTF">2026-08-12T23:21:28Z</dcterms:modified>
</cp:coreProperties>
</file>